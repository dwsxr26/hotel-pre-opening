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chol\Documents\uhg-preopening\"/>
    </mc:Choice>
  </mc:AlternateContent>
  <xr:revisionPtr revIDLastSave="0" documentId="13_ncr:1_{734F01EF-58EE-4D3C-99E7-C7AE61EF9F13}" xr6:coauthVersionLast="47" xr6:coauthVersionMax="47" xr10:uidLastSave="{00000000-0000-0000-0000-000000000000}"/>
  <bookViews>
    <workbookView xWindow="28680" yWindow="-120" windowWidth="29040" windowHeight="15720" activeTab="1" xr2:uid="{7C135DEA-7CF1-AA43-9E9D-421802D2D2E9}"/>
  </bookViews>
  <sheets>
    <sheet name="Overview" sheetId="3" r:id="rId1"/>
    <sheet name="OS&amp;E_FF&amp;E" sheetId="1" r:id="rId2"/>
    <sheet name="Blad1" sheetId="5" r:id="rId3"/>
    <sheet name="comments" sheetId="4" r:id="rId4"/>
    <sheet name="Payment schedule" sheetId="2" state="hidden" r:id="rId5"/>
  </sheets>
  <definedNames>
    <definedName name="_xlnm._FilterDatabase" localSheetId="1" hidden="1">'OS&amp;E_FF&amp;E'!$A$1:$R$509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0" i="1" l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B509" i="1"/>
  <c r="B351" i="1"/>
  <c r="B350" i="1"/>
  <c r="B349" i="1"/>
  <c r="B348" i="1"/>
  <c r="B347" i="1"/>
  <c r="B346" i="1"/>
  <c r="B345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H509" i="1"/>
  <c r="H508" i="1"/>
  <c r="H507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66" i="1"/>
  <c r="H67" i="1"/>
  <c r="H77" i="1"/>
  <c r="G78" i="1"/>
  <c r="H78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C16" i="3"/>
  <c r="H57" i="1"/>
  <c r="H58" i="1"/>
  <c r="H59" i="1"/>
  <c r="H60" i="1"/>
  <c r="H61" i="1"/>
  <c r="H62" i="1"/>
  <c r="H63" i="1"/>
  <c r="H64" i="1"/>
  <c r="H65" i="1"/>
  <c r="H52" i="1"/>
  <c r="H53" i="1"/>
  <c r="H54" i="1"/>
  <c r="H55" i="1"/>
  <c r="H5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G51" i="1"/>
  <c r="H51" i="1" s="1"/>
  <c r="H468" i="1"/>
  <c r="H287" i="1"/>
  <c r="H246" i="1"/>
  <c r="H285" i="1"/>
  <c r="H353" i="1"/>
  <c r="H247" i="1"/>
  <c r="H248" i="1"/>
  <c r="H421" i="1"/>
  <c r="H320" i="1"/>
  <c r="H288" i="1"/>
  <c r="H422" i="1"/>
  <c r="H301" i="1"/>
  <c r="H423" i="1"/>
  <c r="H281" i="1"/>
  <c r="H302" i="1"/>
  <c r="H451" i="1"/>
  <c r="H452" i="1"/>
  <c r="H453" i="1"/>
  <c r="H454" i="1"/>
  <c r="H289" i="1"/>
  <c r="H290" i="1"/>
  <c r="H291" i="1"/>
  <c r="H249" i="1"/>
  <c r="H250" i="1"/>
  <c r="H251" i="1"/>
  <c r="H252" i="1"/>
  <c r="H292" i="1"/>
  <c r="H293" i="1"/>
  <c r="H286" i="1"/>
  <c r="H345" i="1"/>
  <c r="H294" i="1"/>
  <c r="H253" i="1"/>
  <c r="H254" i="1"/>
  <c r="H255" i="1"/>
  <c r="H455" i="1"/>
  <c r="H456" i="1"/>
  <c r="H457" i="1"/>
  <c r="H489" i="1"/>
  <c r="H256" i="1"/>
  <c r="H295" i="1"/>
  <c r="H296" i="1"/>
  <c r="H297" i="1"/>
  <c r="H458" i="1"/>
  <c r="H346" i="1"/>
  <c r="H354" i="1"/>
  <c r="H355" i="1"/>
  <c r="H490" i="1"/>
  <c r="H503" i="1"/>
  <c r="H469" i="1"/>
  <c r="H470" i="1"/>
  <c r="H471" i="1"/>
  <c r="H257" i="1"/>
  <c r="H258" i="1"/>
  <c r="H450" i="1"/>
  <c r="H347" i="1"/>
  <c r="H424" i="1"/>
  <c r="H459" i="1"/>
  <c r="H460" i="1"/>
  <c r="H461" i="1"/>
  <c r="H259" i="1"/>
  <c r="H260" i="1"/>
  <c r="H261" i="1"/>
  <c r="H262" i="1"/>
  <c r="H425" i="1"/>
  <c r="H348" i="1"/>
  <c r="H491" i="1"/>
  <c r="H426" i="1"/>
  <c r="H298" i="1"/>
  <c r="H349" i="1"/>
  <c r="H427" i="1"/>
  <c r="H462" i="1"/>
  <c r="H263" i="1"/>
  <c r="H264" i="1"/>
  <c r="H265" i="1"/>
  <c r="H428" i="1"/>
  <c r="H356" i="1"/>
  <c r="H357" i="1"/>
  <c r="H492" i="1"/>
  <c r="H493" i="1"/>
  <c r="H463" i="1"/>
  <c r="H429" i="1"/>
  <c r="H430" i="1"/>
  <c r="H431" i="1"/>
  <c r="H266" i="1"/>
  <c r="H358" i="1"/>
  <c r="H359" i="1"/>
  <c r="H494" i="1"/>
  <c r="H267" i="1"/>
  <c r="H268" i="1"/>
  <c r="H269" i="1"/>
  <c r="H495" i="1"/>
  <c r="H464" i="1"/>
  <c r="H465" i="1"/>
  <c r="H496" i="1"/>
  <c r="H245" i="1"/>
  <c r="H497" i="1"/>
  <c r="H498" i="1"/>
  <c r="H270" i="1"/>
  <c r="H360" i="1"/>
  <c r="H271" i="1"/>
  <c r="H272" i="1"/>
  <c r="H273" i="1"/>
  <c r="H274" i="1"/>
  <c r="H499" i="1"/>
  <c r="H361" i="1"/>
  <c r="H504" i="1"/>
  <c r="H500" i="1"/>
  <c r="H362" i="1"/>
  <c r="H282" i="1"/>
  <c r="H501" i="1"/>
  <c r="H502" i="1"/>
  <c r="H505" i="1"/>
  <c r="H506" i="1"/>
  <c r="H283" i="1"/>
  <c r="H275" i="1"/>
  <c r="H466" i="1"/>
  <c r="H467" i="1"/>
  <c r="H432" i="1"/>
  <c r="H276" i="1"/>
  <c r="H300" i="1"/>
  <c r="H363" i="1"/>
  <c r="H277" i="1"/>
  <c r="H278" i="1"/>
  <c r="H279" i="1"/>
  <c r="H280" i="1"/>
  <c r="H284" i="1"/>
  <c r="H352" i="1"/>
  <c r="H322" i="1"/>
  <c r="H323" i="1"/>
  <c r="H324" i="1"/>
  <c r="H325" i="1"/>
  <c r="H326" i="1"/>
  <c r="H327" i="1"/>
  <c r="H328" i="1"/>
  <c r="H329" i="1"/>
  <c r="H330" i="1"/>
  <c r="H331" i="1"/>
  <c r="H332" i="1"/>
  <c r="H472" i="1"/>
  <c r="H473" i="1"/>
  <c r="H474" i="1"/>
  <c r="H475" i="1"/>
  <c r="H333" i="1"/>
  <c r="H334" i="1"/>
  <c r="H335" i="1"/>
  <c r="H336" i="1"/>
  <c r="H476" i="1"/>
  <c r="H477" i="1"/>
  <c r="H478" i="1"/>
  <c r="H479" i="1"/>
  <c r="H480" i="1"/>
  <c r="H481" i="1"/>
  <c r="H303" i="1"/>
  <c r="H304" i="1"/>
  <c r="H305" i="1"/>
  <c r="H306" i="1"/>
  <c r="H337" i="1"/>
  <c r="H307" i="1"/>
  <c r="H308" i="1"/>
  <c r="H309" i="1"/>
  <c r="H310" i="1"/>
  <c r="H311" i="1"/>
  <c r="H312" i="1"/>
  <c r="H433" i="1"/>
  <c r="H434" i="1"/>
  <c r="H435" i="1"/>
  <c r="H436" i="1"/>
  <c r="H437" i="1"/>
  <c r="H438" i="1"/>
  <c r="H439" i="1"/>
  <c r="H482" i="1"/>
  <c r="H483" i="1"/>
  <c r="H484" i="1"/>
  <c r="H313" i="1"/>
  <c r="H314" i="1"/>
  <c r="H338" i="1"/>
  <c r="H339" i="1"/>
  <c r="H340" i="1"/>
  <c r="H341" i="1"/>
  <c r="H315" i="1"/>
  <c r="H316" i="1"/>
  <c r="H317" i="1"/>
  <c r="H318" i="1"/>
  <c r="H440" i="1"/>
  <c r="H441" i="1"/>
  <c r="H442" i="1"/>
  <c r="H443" i="1"/>
  <c r="H486" i="1"/>
  <c r="H487" i="1"/>
  <c r="H319" i="1"/>
  <c r="H350" i="1"/>
  <c r="H351" i="1"/>
  <c r="H444" i="1"/>
  <c r="H445" i="1"/>
  <c r="H446" i="1"/>
  <c r="H447" i="1"/>
  <c r="H342" i="1"/>
  <c r="H485" i="1"/>
  <c r="H448" i="1"/>
  <c r="H449" i="1"/>
  <c r="H343" i="1"/>
  <c r="H344" i="1"/>
  <c r="H488" i="1"/>
  <c r="C15" i="3" s="1"/>
  <c r="B488" i="1" s="1"/>
  <c r="H321" i="1"/>
  <c r="C31" i="3" l="1"/>
  <c r="C30" i="3"/>
  <c r="C14" i="3"/>
  <c r="C25" i="3"/>
  <c r="C23" i="3"/>
  <c r="C33" i="3"/>
  <c r="C32" i="3"/>
  <c r="C18" i="3"/>
  <c r="C13" i="3"/>
  <c r="C28" i="3"/>
  <c r="C8" i="3"/>
  <c r="C19" i="3"/>
  <c r="C17" i="3"/>
  <c r="C12" i="3"/>
  <c r="C9" i="3"/>
  <c r="C10" i="3"/>
  <c r="G299" i="1"/>
  <c r="H299" i="1" s="1"/>
  <c r="B42" i="1" l="1"/>
  <c r="B30" i="1"/>
  <c r="B18" i="1"/>
  <c r="B6" i="1"/>
  <c r="B51" i="1"/>
  <c r="B15" i="1"/>
  <c r="B38" i="1"/>
  <c r="B48" i="1"/>
  <c r="B12" i="1"/>
  <c r="B23" i="1"/>
  <c r="B22" i="1"/>
  <c r="B44" i="1"/>
  <c r="B41" i="1"/>
  <c r="B29" i="1"/>
  <c r="B17" i="1"/>
  <c r="B5" i="1"/>
  <c r="B39" i="1"/>
  <c r="B26" i="1"/>
  <c r="B35" i="1"/>
  <c r="B33" i="1"/>
  <c r="B32" i="1"/>
  <c r="B19" i="1"/>
  <c r="B40" i="1"/>
  <c r="B28" i="1"/>
  <c r="B16" i="1"/>
  <c r="B4" i="1"/>
  <c r="B27" i="1"/>
  <c r="B14" i="1"/>
  <c r="B24" i="1"/>
  <c r="B47" i="1"/>
  <c r="B46" i="1"/>
  <c r="B45" i="1"/>
  <c r="B7" i="1"/>
  <c r="B3" i="1"/>
  <c r="B50" i="1"/>
  <c r="B2" i="1"/>
  <c r="B36" i="1"/>
  <c r="B11" i="1"/>
  <c r="B34" i="1"/>
  <c r="B9" i="1"/>
  <c r="B20" i="1"/>
  <c r="B31" i="1"/>
  <c r="B49" i="1"/>
  <c r="B37" i="1"/>
  <c r="B25" i="1"/>
  <c r="B13" i="1"/>
  <c r="B10" i="1"/>
  <c r="B21" i="1"/>
  <c r="B8" i="1"/>
  <c r="B43" i="1"/>
  <c r="B474" i="1"/>
  <c r="B482" i="1"/>
  <c r="B475" i="1"/>
  <c r="B485" i="1"/>
  <c r="B473" i="1"/>
  <c r="B479" i="1"/>
  <c r="B476" i="1"/>
  <c r="B484" i="1"/>
  <c r="B472" i="1"/>
  <c r="B477" i="1"/>
  <c r="B483" i="1"/>
  <c r="B480" i="1"/>
  <c r="B478" i="1"/>
  <c r="B481" i="1"/>
  <c r="B462" i="1"/>
  <c r="B467" i="1"/>
  <c r="B466" i="1"/>
  <c r="B464" i="1"/>
  <c r="B461" i="1"/>
  <c r="B455" i="1"/>
  <c r="B463" i="1"/>
  <c r="B460" i="1"/>
  <c r="B453" i="1"/>
  <c r="B459" i="1"/>
  <c r="B458" i="1"/>
  <c r="B456" i="1"/>
  <c r="B465" i="1"/>
  <c r="B452" i="1"/>
  <c r="B451" i="1"/>
  <c r="B457" i="1"/>
  <c r="B454" i="1"/>
  <c r="B285" i="1"/>
  <c r="B286" i="1"/>
  <c r="B468" i="1"/>
  <c r="B470" i="1"/>
  <c r="B471" i="1"/>
  <c r="B469" i="1"/>
  <c r="B78" i="1"/>
  <c r="B66" i="1"/>
  <c r="B71" i="1"/>
  <c r="B69" i="1"/>
  <c r="B77" i="1"/>
  <c r="B74" i="1"/>
  <c r="B70" i="1"/>
  <c r="B76" i="1"/>
  <c r="B75" i="1"/>
  <c r="B72" i="1"/>
  <c r="B68" i="1"/>
  <c r="B73" i="1"/>
  <c r="B67" i="1"/>
  <c r="B302" i="1"/>
  <c r="B301" i="1"/>
  <c r="B504" i="1"/>
  <c r="B503" i="1"/>
  <c r="B54" i="1"/>
  <c r="B55" i="1"/>
  <c r="B65" i="1"/>
  <c r="B53" i="1"/>
  <c r="B60" i="1"/>
  <c r="B64" i="1"/>
  <c r="B52" i="1"/>
  <c r="B62" i="1"/>
  <c r="B63" i="1"/>
  <c r="B59" i="1"/>
  <c r="B57" i="1"/>
  <c r="B61" i="1"/>
  <c r="B58" i="1"/>
  <c r="B56" i="1"/>
  <c r="B486" i="1"/>
  <c r="B508" i="1"/>
  <c r="B487" i="1"/>
  <c r="B506" i="1"/>
  <c r="B505" i="1"/>
  <c r="B438" i="1"/>
  <c r="B426" i="1"/>
  <c r="B446" i="1"/>
  <c r="B429" i="1"/>
  <c r="B449" i="1"/>
  <c r="B437" i="1"/>
  <c r="B425" i="1"/>
  <c r="B434" i="1"/>
  <c r="B444" i="1"/>
  <c r="B430" i="1"/>
  <c r="B441" i="1"/>
  <c r="B428" i="1"/>
  <c r="B448" i="1"/>
  <c r="B436" i="1"/>
  <c r="B424" i="1"/>
  <c r="B432" i="1"/>
  <c r="B443" i="1"/>
  <c r="B447" i="1"/>
  <c r="B435" i="1"/>
  <c r="B423" i="1"/>
  <c r="B422" i="1"/>
  <c r="B431" i="1"/>
  <c r="B442" i="1"/>
  <c r="B445" i="1"/>
  <c r="B433" i="1"/>
  <c r="B421" i="1"/>
  <c r="B440" i="1"/>
  <c r="B439" i="1"/>
  <c r="B427" i="1"/>
  <c r="B342" i="1"/>
  <c r="B330" i="1"/>
  <c r="B336" i="1"/>
  <c r="B333" i="1"/>
  <c r="B332" i="1"/>
  <c r="B343" i="1"/>
  <c r="B341" i="1"/>
  <c r="B329" i="1"/>
  <c r="B338" i="1"/>
  <c r="B324" i="1"/>
  <c r="B321" i="1"/>
  <c r="B320" i="1"/>
  <c r="B340" i="1"/>
  <c r="B328" i="1"/>
  <c r="B326" i="1"/>
  <c r="B335" i="1"/>
  <c r="B334" i="1"/>
  <c r="B344" i="1"/>
  <c r="B339" i="1"/>
  <c r="B327" i="1"/>
  <c r="B323" i="1"/>
  <c r="B322" i="1"/>
  <c r="B337" i="1"/>
  <c r="B325" i="1"/>
  <c r="B331" i="1"/>
  <c r="B414" i="1"/>
  <c r="B402" i="1"/>
  <c r="B390" i="1"/>
  <c r="B378" i="1"/>
  <c r="B366" i="1"/>
  <c r="B354" i="1"/>
  <c r="B398" i="1"/>
  <c r="B420" i="1"/>
  <c r="B384" i="1"/>
  <c r="B419" i="1"/>
  <c r="B395" i="1"/>
  <c r="B406" i="1"/>
  <c r="B370" i="1"/>
  <c r="B381" i="1"/>
  <c r="B392" i="1"/>
  <c r="B403" i="1"/>
  <c r="B413" i="1"/>
  <c r="B401" i="1"/>
  <c r="B389" i="1"/>
  <c r="B377" i="1"/>
  <c r="B365" i="1"/>
  <c r="B386" i="1"/>
  <c r="B372" i="1"/>
  <c r="B407" i="1"/>
  <c r="B359" i="1"/>
  <c r="B358" i="1"/>
  <c r="B369" i="1"/>
  <c r="B391" i="1"/>
  <c r="B412" i="1"/>
  <c r="B400" i="1"/>
  <c r="B388" i="1"/>
  <c r="B376" i="1"/>
  <c r="B364" i="1"/>
  <c r="B352" i="1"/>
  <c r="B410" i="1"/>
  <c r="B374" i="1"/>
  <c r="B396" i="1"/>
  <c r="B383" i="1"/>
  <c r="B418" i="1"/>
  <c r="B394" i="1"/>
  <c r="B393" i="1"/>
  <c r="B404" i="1"/>
  <c r="B415" i="1"/>
  <c r="B355" i="1"/>
  <c r="B411" i="1"/>
  <c r="B399" i="1"/>
  <c r="B387" i="1"/>
  <c r="B375" i="1"/>
  <c r="B363" i="1"/>
  <c r="B362" i="1"/>
  <c r="B408" i="1"/>
  <c r="B360" i="1"/>
  <c r="B371" i="1"/>
  <c r="B382" i="1"/>
  <c r="B417" i="1"/>
  <c r="B405" i="1"/>
  <c r="B357" i="1"/>
  <c r="B380" i="1"/>
  <c r="B379" i="1"/>
  <c r="B409" i="1"/>
  <c r="B397" i="1"/>
  <c r="B385" i="1"/>
  <c r="B373" i="1"/>
  <c r="B361" i="1"/>
  <c r="B353" i="1"/>
  <c r="B416" i="1"/>
  <c r="B368" i="1"/>
  <c r="B356" i="1"/>
  <c r="B367" i="1"/>
  <c r="B498" i="1"/>
  <c r="B489" i="1"/>
  <c r="B497" i="1"/>
  <c r="B494" i="1"/>
  <c r="B490" i="1"/>
  <c r="B501" i="1"/>
  <c r="B496" i="1"/>
  <c r="B492" i="1"/>
  <c r="B491" i="1"/>
  <c r="B502" i="1"/>
  <c r="B495" i="1"/>
  <c r="B493" i="1"/>
  <c r="B500" i="1"/>
  <c r="B499" i="1"/>
  <c r="B450" i="1"/>
  <c r="B507" i="1"/>
  <c r="D35" i="3"/>
  <c r="H512" i="1"/>
  <c r="C35" i="3"/>
  <c r="C38" i="3" s="1"/>
  <c r="C39" i="3" s="1"/>
  <c r="G510" i="1" s="1"/>
  <c r="H510" i="1" s="1"/>
  <c r="B14" i="2"/>
  <c r="B16" i="2"/>
  <c r="H513" i="1" l="1"/>
  <c r="I18" i="2"/>
  <c r="J18" i="2"/>
  <c r="K18" i="2"/>
  <c r="L18" i="2"/>
  <c r="M18" i="2"/>
  <c r="H18" i="2"/>
  <c r="B12" i="2"/>
  <c r="B10" i="2"/>
  <c r="B8" i="2" l="1"/>
  <c r="B13" i="2"/>
  <c r="B7" i="2"/>
  <c r="B11" i="2" l="1"/>
  <c r="B9" i="2"/>
  <c r="B6" i="2"/>
  <c r="B15" i="2"/>
  <c r="B4" i="2" l="1"/>
  <c r="B3" i="2"/>
  <c r="B5" i="2"/>
  <c r="B2" i="2"/>
</calcChain>
</file>

<file path=xl/sharedStrings.xml><?xml version="1.0" encoding="utf-8"?>
<sst xmlns="http://schemas.openxmlformats.org/spreadsheetml/2006/main" count="1924" uniqueCount="767">
  <si>
    <t>OS&amp;E_FF&amp;E Overview</t>
  </si>
  <si>
    <t>Hotel</t>
  </si>
  <si>
    <t>The Usual Florence</t>
  </si>
  <si>
    <t xml:space="preserve">Brand </t>
  </si>
  <si>
    <t xml:space="preserve">The Usual  </t>
  </si>
  <si>
    <t xml:space="preserve">Status </t>
  </si>
  <si>
    <t>Package</t>
  </si>
  <si>
    <t>OSE_FFE</t>
  </si>
  <si>
    <t>Loose OS&amp;E/Daan/Usual</t>
  </si>
  <si>
    <t>Budget Artelia</t>
  </si>
  <si>
    <t xml:space="preserve">Comments </t>
  </si>
  <si>
    <t>ordered</t>
  </si>
  <si>
    <t>deadline</t>
  </si>
  <si>
    <t xml:space="preserve">In charge </t>
  </si>
  <si>
    <t xml:space="preserve">Information submitted to Daan  </t>
  </si>
  <si>
    <t>P1.0</t>
  </si>
  <si>
    <t>F&amp;B: Fixed Kitchen &amp; Bar Equipment</t>
  </si>
  <si>
    <t>Michael</t>
  </si>
  <si>
    <t>P1.1</t>
  </si>
  <si>
    <t>F&amp;B: Coffee equipment</t>
  </si>
  <si>
    <t>P1.2</t>
  </si>
  <si>
    <t>F&amp;B: Operating Systems</t>
  </si>
  <si>
    <t>P1.3</t>
  </si>
  <si>
    <t>F&amp;B: Operating Equipment F&amp;B</t>
  </si>
  <si>
    <t>P1.0 to P1.4: All part of capex  300K</t>
  </si>
  <si>
    <t>P2</t>
  </si>
  <si>
    <t>Branded Stationary</t>
  </si>
  <si>
    <t>Marketing</t>
  </si>
  <si>
    <t>P3</t>
  </si>
  <si>
    <t>Loose Furniture rooms</t>
  </si>
  <si>
    <t>Gisela</t>
  </si>
  <si>
    <t>TPC</t>
  </si>
  <si>
    <t>P4</t>
  </si>
  <si>
    <t xml:space="preserve">Linen </t>
  </si>
  <si>
    <t>P5</t>
  </si>
  <si>
    <t>Transport &amp; Installation</t>
  </si>
  <si>
    <t>Michiel</t>
  </si>
  <si>
    <t>Moving Company + assistance GC</t>
  </si>
  <si>
    <t>P6</t>
  </si>
  <si>
    <t xml:space="preserve">Events equipment </t>
  </si>
  <si>
    <t>P7</t>
  </si>
  <si>
    <t xml:space="preserve">Guestroom equipment and support </t>
  </si>
  <si>
    <t>toothbrush/paste/shavingkit etc.</t>
  </si>
  <si>
    <t>P8</t>
  </si>
  <si>
    <t xml:space="preserve">Cleaning equipment and tools </t>
  </si>
  <si>
    <t>HM/Andi</t>
  </si>
  <si>
    <t>TD equipment</t>
  </si>
  <si>
    <t>P9</t>
  </si>
  <si>
    <t xml:space="preserve">Wardrobe (uniforms) </t>
  </si>
  <si>
    <t>Uniforms Sweaters</t>
  </si>
  <si>
    <t>P10</t>
  </si>
  <si>
    <t xml:space="preserve">Storeroom and pantry shelving </t>
  </si>
  <si>
    <t>In FF&amp;E/OS&amp;E groundfloor budget (total 51K)</t>
  </si>
  <si>
    <t>P11</t>
  </si>
  <si>
    <t>FF&amp;E PA</t>
  </si>
  <si>
    <t>Artelia capex FF&amp;E groiundfloor</t>
  </si>
  <si>
    <t>P12</t>
  </si>
  <si>
    <t xml:space="preserve">Wellness, fitness and recreational equipment </t>
  </si>
  <si>
    <t>20K in budget Artelia</t>
  </si>
  <si>
    <t>P13</t>
  </si>
  <si>
    <t xml:space="preserve">Baby items </t>
  </si>
  <si>
    <t>P14</t>
  </si>
  <si>
    <t xml:space="preserve">Office furniture &amp; equipment </t>
  </si>
  <si>
    <t>P15</t>
  </si>
  <si>
    <t xml:space="preserve">Public areas accessories </t>
  </si>
  <si>
    <t>Bins public space</t>
  </si>
  <si>
    <t>P16</t>
  </si>
  <si>
    <t>Art &amp; accessories Rooms</t>
  </si>
  <si>
    <t>pictures rooms and statue:TPC and Art budget</t>
  </si>
  <si>
    <t>P17</t>
  </si>
  <si>
    <t>IT</t>
  </si>
  <si>
    <t>Marc</t>
  </si>
  <si>
    <t>incl in capex</t>
  </si>
  <si>
    <t>P18</t>
  </si>
  <si>
    <t>FF&amp;E rooms</t>
  </si>
  <si>
    <t>Incl in capex</t>
  </si>
  <si>
    <t>P19</t>
  </si>
  <si>
    <t>internal signage</t>
  </si>
  <si>
    <t>Design Stylt 7.5K, rest in capex budget OS&amp;e Groundfloor</t>
  </si>
  <si>
    <t>P20</t>
  </si>
  <si>
    <t>OS&amp;E Rooms</t>
  </si>
  <si>
    <t>Items excluded TPC contract</t>
  </si>
  <si>
    <t>P21</t>
  </si>
  <si>
    <t>Plants</t>
  </si>
  <si>
    <t>not in Capex</t>
  </si>
  <si>
    <t>P22</t>
  </si>
  <si>
    <t>Operational Equipment</t>
  </si>
  <si>
    <t>Marie Stella Maris + 7.5 K qwashmachine etc</t>
  </si>
  <si>
    <t>P23</t>
  </si>
  <si>
    <t>Health &amp; safety</t>
  </si>
  <si>
    <t xml:space="preserve">Total: </t>
  </si>
  <si>
    <t>total OS&amp;E budget (file budget all dept 27 jan 2026)</t>
  </si>
  <si>
    <t>total costs column C: purchase bij UHG</t>
  </si>
  <si>
    <t>Contigency various items</t>
  </si>
  <si>
    <t>Items</t>
  </si>
  <si>
    <t>Item nr.</t>
  </si>
  <si>
    <t>Quantity</t>
  </si>
  <si>
    <t>Supplier</t>
  </si>
  <si>
    <t>Unit Price</t>
  </si>
  <si>
    <t>Total</t>
  </si>
  <si>
    <t>Picture/discription</t>
  </si>
  <si>
    <t>date of arrival</t>
  </si>
  <si>
    <t>order placed</t>
  </si>
  <si>
    <t>Induction hot plate round (drop-in)</t>
  </si>
  <si>
    <t>F&amp;B Wall / Grab &amp; Go</t>
  </si>
  <si>
    <t>Beuk - 63564</t>
  </si>
  <si>
    <t xml:space="preserve">Scholl Heat lamp </t>
  </si>
  <si>
    <t xml:space="preserve">Double door refridgerator (black) </t>
  </si>
  <si>
    <t xml:space="preserve">Custom made stainless steel sink/work/dispensing furniture							
</t>
  </si>
  <si>
    <t>Kitchen equipment &amp; appliances</t>
  </si>
  <si>
    <t xml:space="preserve">Solid water tap with 1-lever / elbow control </t>
  </si>
  <si>
    <t xml:space="preserve">Rubbermaid waste container (with dolly) </t>
  </si>
  <si>
    <t>Roeder refrigerated workbench</t>
  </si>
  <si>
    <t>Alto-Shaam warming cabinet</t>
  </si>
  <si>
    <t>Vector Multi Cook Oven</t>
  </si>
  <si>
    <t>Rational iCombi Pro Combisteamer</t>
  </si>
  <si>
    <t>UltraVent Condensation Hood</t>
  </si>
  <si>
    <t>Qualitytec Quote via Artelia, partly instalation budget tbd..</t>
  </si>
  <si>
    <t>Custom made stainless steel double wall shelf</t>
  </si>
  <si>
    <t>Panasonic microwave</t>
  </si>
  <si>
    <t>Custom made stainless steel sink/work/serving furniture</t>
  </si>
  <si>
    <t>Roeder plate warming cabinet</t>
  </si>
  <si>
    <t>Roeder double door refrigerator</t>
  </si>
  <si>
    <t>Roeder single door freezer</t>
  </si>
  <si>
    <t>Stainless steel HACCP skirting boards</t>
  </si>
  <si>
    <t>Rhima glass washing machine</t>
  </si>
  <si>
    <t>Bar equipment &amp; appliances</t>
  </si>
  <si>
    <t>Rhima reverse osmosis installation</t>
  </si>
  <si>
    <t>Hoshizaki ice cube machine</t>
  </si>
  <si>
    <t>Hoshizaki nugget ice machine</t>
  </si>
  <si>
    <t xml:space="preserve">Hoshizaki water filter </t>
  </si>
  <si>
    <t>Gamko drawer-bottle cooler</t>
  </si>
  <si>
    <t>Cocktail bar</t>
  </si>
  <si>
    <t xml:space="preserve">Gamko bar cooling (for milk) </t>
  </si>
  <si>
    <t xml:space="preserve">Pastry display (build-in) </t>
  </si>
  <si>
    <t>Custom made stainless steel debrasing/feeding table with basket guideer racks</t>
  </si>
  <si>
    <t>Stewarding equipment &amp; appliances</t>
  </si>
  <si>
    <t>Pre-rinse shower (with tap)</t>
  </si>
  <si>
    <t>Custom made stainless steel debrasingshelf</t>
  </si>
  <si>
    <t>Rhima prewashing machine</t>
  </si>
  <si>
    <t>Custom made stainless steel connector</t>
  </si>
  <si>
    <t>Rhima pass-through dishwasher with energy-saving steam condensing unit</t>
  </si>
  <si>
    <t>Weighted boiler element</t>
  </si>
  <si>
    <t>Custom made stainless steel drain-/roller table</t>
  </si>
  <si>
    <t>Rhima full-automatic volume-operated water descaler</t>
  </si>
  <si>
    <t>Rhima Pro Wash Water softening salt</t>
  </si>
  <si>
    <t>Custom mode stainless steel cutlery sorting station</t>
  </si>
  <si>
    <t>Fermostock HACCP 5 level shelf</t>
  </si>
  <si>
    <t xml:space="preserve">Fermostock HACCP 5 level shelf </t>
  </si>
  <si>
    <t xml:space="preserve">Storage (fridge, freezer &amp; dry) </t>
  </si>
  <si>
    <t>Custom cold storage/freezer room</t>
  </si>
  <si>
    <t>Querci Quote via Artelia</t>
  </si>
  <si>
    <t>Fermostock HACCP 4 level shelf in U-shape</t>
  </si>
  <si>
    <t>Fermostock HACCP 5 level shelf in U-shape</t>
  </si>
  <si>
    <t>Projected installation costs</t>
  </si>
  <si>
    <t xml:space="preserve">Connection &amp; placement fees </t>
  </si>
  <si>
    <t>Projected transportation costs</t>
  </si>
  <si>
    <t>Transportation costs</t>
  </si>
  <si>
    <t>Special EXTRA rounding and project discount on NETTO quote (on undivided order)</t>
  </si>
  <si>
    <t xml:space="preserve">Discount </t>
  </si>
  <si>
    <t xml:space="preserve">Single Jet 6 5.6 Kw </t>
  </si>
  <si>
    <t>Back of House</t>
  </si>
  <si>
    <t>URN</t>
  </si>
  <si>
    <t xml:space="preserve">Jet grinder </t>
  </si>
  <si>
    <t>Transport</t>
  </si>
  <si>
    <t>Full Automatic Spritz Bar tbd</t>
  </si>
  <si>
    <t>San Remo Racer (2 group) </t>
  </si>
  <si>
    <t xml:space="preserve">Additional cost customisation espresso machine </t>
  </si>
  <si>
    <t>Bottomless Knockbox </t>
  </si>
  <si>
    <t>SR 83 OD </t>
  </si>
  <si>
    <t>Extra pump Line (fo)</t>
  </si>
  <si>
    <t>Puqpress Q2</t>
  </si>
  <si>
    <t>Milkmate 2.0</t>
  </si>
  <si>
    <t>Extra pump line</t>
  </si>
  <si>
    <t xml:space="preserve">Pitcher rinser De Vrij M </t>
  </si>
  <si>
    <t>Lightspeed K-series 1 POS Station, Tableside or Mobile Inventory</t>
  </si>
  <si>
    <t>POS System</t>
  </si>
  <si>
    <t>Lightspeed 3013166</t>
  </si>
  <si>
    <t>1 POS Station, Tableside or Mobile</t>
  </si>
  <si>
    <t>Silver Base Pro Service License 1/3</t>
  </si>
  <si>
    <t>FDM (Fiscal Data Module)</t>
  </si>
  <si>
    <t>FDM Service Charge</t>
  </si>
  <si>
    <t>EU: Apple Ipad 10.2", WIFI 64 GB, Space Grey 9th Gen</t>
  </si>
  <si>
    <t>Windfall Ipad stand 10.2" 8th/9th Gen</t>
  </si>
  <si>
    <t>EU: Epson TM-M30II-NT LAN Receipt Printer (Ethernet, Black)</t>
  </si>
  <si>
    <t>Thermal Paper for Network Printer</t>
  </si>
  <si>
    <t>Lightspeed FST - On site Implementation Package (small)</t>
  </si>
  <si>
    <t>Payment terminal Receipt Paper (20 rolls)</t>
  </si>
  <si>
    <t>PROMO: Payments Restaurant Mobile S1F2 (EU) (€360 Value)</t>
  </si>
  <si>
    <t>Shipping &amp; Handling (Europe) 1/3</t>
  </si>
  <si>
    <t xml:space="preserve">Small plate 20 cm </t>
  </si>
  <si>
    <t>Chinaware</t>
  </si>
  <si>
    <t xml:space="preserve">Large plate 26 cm </t>
  </si>
  <si>
    <t xml:space="preserve">Deep plate </t>
  </si>
  <si>
    <t>Serving platter</t>
  </si>
  <si>
    <t xml:space="preserve">Snack bowl </t>
  </si>
  <si>
    <t>Bowl</t>
  </si>
  <si>
    <t xml:space="preserve">Bento tray </t>
  </si>
  <si>
    <t>Container (weckpot/mason jar)</t>
  </si>
  <si>
    <t>Pepper and salt mill</t>
  </si>
  <si>
    <t>Sauce container/cup/bowl</t>
  </si>
  <si>
    <t>Little spoon</t>
  </si>
  <si>
    <t>Cutlery</t>
  </si>
  <si>
    <t>Large spoon</t>
  </si>
  <si>
    <t xml:space="preserve">Coffee spoon tall </t>
  </si>
  <si>
    <t xml:space="preserve">Coffee Spoon small </t>
  </si>
  <si>
    <t>Fork</t>
  </si>
  <si>
    <t xml:space="preserve">Dessert fork </t>
  </si>
  <si>
    <t>Knife</t>
  </si>
  <si>
    <t>Water glass</t>
  </si>
  <si>
    <t>Glassware</t>
  </si>
  <si>
    <t>Wineglass</t>
  </si>
  <si>
    <t>Espresso glass</t>
  </si>
  <si>
    <t>Tea glass</t>
  </si>
  <si>
    <t>Coffee glass</t>
  </si>
  <si>
    <t>Cappuccino glass</t>
  </si>
  <si>
    <t>Sugar &amp; milk standard</t>
  </si>
  <si>
    <t>Coupe glass</t>
  </si>
  <si>
    <t xml:space="preserve">Latte macchiato </t>
  </si>
  <si>
    <t>Beer glass 500ml</t>
  </si>
  <si>
    <t>Beer glass 250 ml</t>
  </si>
  <si>
    <t>Flutes</t>
  </si>
  <si>
    <t>Highball</t>
  </si>
  <si>
    <t>Cocktail glasses (tumbler)</t>
  </si>
  <si>
    <t>Black frame for bowls Small</t>
  </si>
  <si>
    <t xml:space="preserve">Presentation material </t>
  </si>
  <si>
    <t>Black Frame for bowls Medium</t>
  </si>
  <si>
    <t xml:space="preserve">Steel presentation basket </t>
  </si>
  <si>
    <t xml:space="preserve">Serving tong small </t>
  </si>
  <si>
    <t>Wooden buffet cabinet</t>
  </si>
  <si>
    <t xml:space="preserve">Buffet raiser </t>
  </si>
  <si>
    <t>Buffet cabinet 3 parts</t>
  </si>
  <si>
    <t>Serving tong</t>
  </si>
  <si>
    <t>Creuset 6</t>
  </si>
  <si>
    <t>Serving spoon</t>
  </si>
  <si>
    <t>Acacia raiser</t>
  </si>
  <si>
    <t>Creuset 8</t>
  </si>
  <si>
    <t>Glass carafe with lid</t>
  </si>
  <si>
    <t>Small ceramic/porcelain bowls</t>
  </si>
  <si>
    <t>Cake server (cutlery)</t>
  </si>
  <si>
    <t>Large ceramic/porcelain bowls</t>
  </si>
  <si>
    <t>Signage for the dishes and drinks (3 pcs)</t>
  </si>
  <si>
    <t>Serving spoon soup</t>
  </si>
  <si>
    <t>Trolley (front-of-house)</t>
  </si>
  <si>
    <t>Cutlery tray</t>
  </si>
  <si>
    <t xml:space="preserve">Cake stand with lid </t>
  </si>
  <si>
    <t xml:space="preserve">Debras carts for trays (customised </t>
  </si>
  <si>
    <t>Misc</t>
  </si>
  <si>
    <t>Cocktail set</t>
  </si>
  <si>
    <t>Bar equipment</t>
  </si>
  <si>
    <t>Bottle brush</t>
  </si>
  <si>
    <t>Ice scoop</t>
  </si>
  <si>
    <t>Cutting board</t>
  </si>
  <si>
    <t>Sommelier knife</t>
  </si>
  <si>
    <t>Bar knife</t>
  </si>
  <si>
    <t>Ice tong</t>
  </si>
  <si>
    <t>Non skid tray</t>
  </si>
  <si>
    <t>Ice bucket</t>
  </si>
  <si>
    <t>Wine coolers</t>
  </si>
  <si>
    <t>Barmat</t>
  </si>
  <si>
    <t>Bottle opener</t>
  </si>
  <si>
    <t xml:space="preserve">Napkin holder </t>
  </si>
  <si>
    <t>Beer Skimmer</t>
  </si>
  <si>
    <t xml:space="preserve">Champagne stopper </t>
  </si>
  <si>
    <t>Lemon squeezer</t>
  </si>
  <si>
    <t>Peeler</t>
  </si>
  <si>
    <t>Whipped cream can</t>
  </si>
  <si>
    <t>Gastronorm container 1/6 100MM WITH LID</t>
  </si>
  <si>
    <t>Garnish tray</t>
  </si>
  <si>
    <t>Milk pooring jug 350ml</t>
  </si>
  <si>
    <t>Coffee equipment bar</t>
  </si>
  <si>
    <t xml:space="preserve">Milk pooring jug 150 ml </t>
  </si>
  <si>
    <t>Milk pooring jug 85ml</t>
  </si>
  <si>
    <t>Milk pooring jug handle grip</t>
  </si>
  <si>
    <t>Gastronorm container 1/6 WITH LID</t>
  </si>
  <si>
    <t>Coffee Brush</t>
  </si>
  <si>
    <t>Group head cleaning brush</t>
  </si>
  <si>
    <t>Blind filter (cleaning)</t>
  </si>
  <si>
    <t xml:space="preserve">Cookie jar </t>
  </si>
  <si>
    <t>Kitchen equipment</t>
  </si>
  <si>
    <t>Tongs</t>
  </si>
  <si>
    <t xml:space="preserve">Scale </t>
  </si>
  <si>
    <t>Mixing bowl 4L</t>
  </si>
  <si>
    <t>Vacuum machine</t>
  </si>
  <si>
    <t>Bread knife</t>
  </si>
  <si>
    <t>Pepper and salt mill set</t>
  </si>
  <si>
    <t>Oven gloves</t>
  </si>
  <si>
    <t>Silicon mats 1/1</t>
  </si>
  <si>
    <t>Can opener</t>
  </si>
  <si>
    <t xml:space="preserve">Oven tray </t>
  </si>
  <si>
    <t>Serving shovel</t>
  </si>
  <si>
    <t>Kitchen towel</t>
  </si>
  <si>
    <t>Scraper (pannenlikker)</t>
  </si>
  <si>
    <t>Inox spatula</t>
  </si>
  <si>
    <t>Pizza cutter</t>
  </si>
  <si>
    <t>Cutting board (red, green, white, blue)</t>
  </si>
  <si>
    <t>Thermometer</t>
  </si>
  <si>
    <t>Kitchen knife</t>
  </si>
  <si>
    <t>Zester</t>
  </si>
  <si>
    <t>Knife sharpener</t>
  </si>
  <si>
    <t>Stirring spatula</t>
  </si>
  <si>
    <t xml:space="preserve">Cutting board rack </t>
  </si>
  <si>
    <t>Kitchen scissors</t>
  </si>
  <si>
    <t>Blender</t>
  </si>
  <si>
    <t>Sieve</t>
  </si>
  <si>
    <t xml:space="preserve">funnel </t>
  </si>
  <si>
    <t>Gastronorm container 18/10 1/1, 100 MM</t>
  </si>
  <si>
    <t>Gastronorm container 18/10 1/1, 200 MM</t>
  </si>
  <si>
    <t>Gastronorm container 18/10 1/1 65MM</t>
  </si>
  <si>
    <t>Gastronorm container 18/10 1/2 65 MM</t>
  </si>
  <si>
    <t>Gastronorm container 18/10 1/2 200MM</t>
  </si>
  <si>
    <t>Gastronorm container 18/10 1/2, 100 MM</t>
  </si>
  <si>
    <t>Gastronorm container 18/10 1/3, 100 MM</t>
  </si>
  <si>
    <t>Gastronorm container 18/10 1/6, 100 MM</t>
  </si>
  <si>
    <t>Gastronorm container 18/10 1/9, 65 MM</t>
  </si>
  <si>
    <t>Gastronorm container perforated 1/1, 65 MM</t>
  </si>
  <si>
    <t>Gastronorm container perforated 1/2, 65 MM</t>
  </si>
  <si>
    <t>Gastronorm container sieve 1/1</t>
  </si>
  <si>
    <t>Gastronorm container sieve 1/2</t>
  </si>
  <si>
    <t>Lid 1/9</t>
  </si>
  <si>
    <t>Lid 1/6</t>
  </si>
  <si>
    <t>Lid 1/3</t>
  </si>
  <si>
    <t>Lid 1/2</t>
  </si>
  <si>
    <t>Lid 1/1</t>
  </si>
  <si>
    <t>Extra</t>
  </si>
  <si>
    <t>Stepladder (6steps) hails</t>
  </si>
  <si>
    <t>Cleaning equipment</t>
  </si>
  <si>
    <t>Wet floor sign rubbermaid</t>
  </si>
  <si>
    <t>Cleaning gloves</t>
  </si>
  <si>
    <t>Dustpan and brush</t>
  </si>
  <si>
    <t>Window wiper</t>
  </si>
  <si>
    <t>Floor wiper (trekker + steel)</t>
  </si>
  <si>
    <t>Duster / cloth</t>
  </si>
  <si>
    <t>Sponge</t>
  </si>
  <si>
    <t>Bucket</t>
  </si>
  <si>
    <t>Handsoap dispenser</t>
  </si>
  <si>
    <t>Tork centrepull system</t>
  </si>
  <si>
    <t>Vacuum cleaner</t>
  </si>
  <si>
    <t>Broom (ZONDER STEEL)</t>
  </si>
  <si>
    <t>Washing-up brush</t>
  </si>
  <si>
    <t>Dishwasher basket glasses</t>
  </si>
  <si>
    <t>Dishwasher basket wineglasses</t>
  </si>
  <si>
    <t>Dishwasher basket plates</t>
  </si>
  <si>
    <t>Dishwasher basket cutlery</t>
  </si>
  <si>
    <t>Mop</t>
  </si>
  <si>
    <t>Trolley RVS</t>
  </si>
  <si>
    <t>Coffee cups + lids (2000)</t>
  </si>
  <si>
    <t>Branded disposables</t>
  </si>
  <si>
    <t>Knife (2400 pcs)</t>
  </si>
  <si>
    <t>Fork (200)</t>
  </si>
  <si>
    <t>Spoon (100)</t>
  </si>
  <si>
    <t>Coffee spoon (250)</t>
  </si>
  <si>
    <t>Bol box (200 pcs)</t>
  </si>
  <si>
    <t>Dressing containers (50 pcs)</t>
  </si>
  <si>
    <t>Soup container (25 pcs)</t>
  </si>
  <si>
    <t>Straws (250)</t>
  </si>
  <si>
    <t>Napkins (3200)</t>
  </si>
  <si>
    <t>Paper bag (2000 pcs)</t>
  </si>
  <si>
    <t>Bag (400)</t>
  </si>
  <si>
    <t>Shelving</t>
  </si>
  <si>
    <t>Furniture</t>
  </si>
  <si>
    <t>Juro</t>
  </si>
  <si>
    <t>Armchair lounge</t>
  </si>
  <si>
    <t>tableplacechairs.com</t>
  </si>
  <si>
    <t>LF-014</t>
  </si>
  <si>
    <t>Banquet chair</t>
  </si>
  <si>
    <t>Gisela?</t>
  </si>
  <si>
    <t>Bar Stool FL001</t>
  </si>
  <si>
    <t>Fort M</t>
  </si>
  <si>
    <t>Carpets</t>
  </si>
  <si>
    <t>FF&amp;E Public Area</t>
  </si>
  <si>
    <t>Oertel</t>
  </si>
  <si>
    <t>Chair dining table</t>
  </si>
  <si>
    <t>Menu</t>
  </si>
  <si>
    <t>Chair wood</t>
  </si>
  <si>
    <t>Hay</t>
  </si>
  <si>
    <t>LF-031</t>
  </si>
  <si>
    <t>Chair/stool</t>
  </si>
  <si>
    <t>LF-032</t>
  </si>
  <si>
    <t>Coffe table concrete high</t>
  </si>
  <si>
    <t>Pedrali</t>
  </si>
  <si>
    <t>LF-024</t>
  </si>
  <si>
    <t>Coffe table concrete low</t>
  </si>
  <si>
    <t>LF-023</t>
  </si>
  <si>
    <t>Coffee table</t>
  </si>
  <si>
    <t>TIPTOE</t>
  </si>
  <si>
    <t>LF-029</t>
  </si>
  <si>
    <t>Cover arm chair FL038</t>
  </si>
  <si>
    <t>Muuto</t>
  </si>
  <si>
    <t>FL038</t>
  </si>
  <si>
    <t>Flea market chair left area LF03</t>
  </si>
  <si>
    <t>Daan?</t>
  </si>
  <si>
    <t>Vintage furniture</t>
  </si>
  <si>
    <t>Flea market chair left area LF04</t>
  </si>
  <si>
    <t>High chair FL002</t>
  </si>
  <si>
    <t>FL002</t>
  </si>
  <si>
    <t>High chair right area LF-037</t>
  </si>
  <si>
    <t>LF037</t>
  </si>
  <si>
    <t>Hight adjustable chairs</t>
  </si>
  <si>
    <t>LF034</t>
  </si>
  <si>
    <t>Hight adjustable table</t>
  </si>
  <si>
    <t>Lapalma</t>
  </si>
  <si>
    <t>LF-028</t>
  </si>
  <si>
    <t>Loung Chair</t>
  </si>
  <si>
    <t>LF-013</t>
  </si>
  <si>
    <t>Lounge area sofa's LF041</t>
  </si>
  <si>
    <t>LF041</t>
  </si>
  <si>
    <t>lounge Sofa flea market</t>
  </si>
  <si>
    <t>e.g. RELIVING</t>
  </si>
  <si>
    <t>LF-017</t>
  </si>
  <si>
    <t>Pouf vintage leather</t>
  </si>
  <si>
    <t>e.g. Reliving</t>
  </si>
  <si>
    <t>Rattan furniture armchair</t>
  </si>
  <si>
    <t>Expormim</t>
  </si>
  <si>
    <t>LF-016</t>
  </si>
  <si>
    <t>Rattan furniture sofa</t>
  </si>
  <si>
    <t>LF-018</t>
  </si>
  <si>
    <t>Room divider</t>
  </si>
  <si>
    <t>Side table wsith rock foot</t>
  </si>
  <si>
    <t>LF-026</t>
  </si>
  <si>
    <t>stone couch table / organic shape</t>
  </si>
  <si>
    <t>Frigerio</t>
  </si>
  <si>
    <t>LF-021</t>
  </si>
  <si>
    <t>Stone side table</t>
  </si>
  <si>
    <t>LF-022</t>
  </si>
  <si>
    <t>Stool 6 cork</t>
  </si>
  <si>
    <t>LF-010</t>
  </si>
  <si>
    <t>Stools</t>
  </si>
  <si>
    <t>LF045</t>
  </si>
  <si>
    <t>Vintage chairs</t>
  </si>
  <si>
    <t>LF003</t>
  </si>
  <si>
    <t>Welcome area swings</t>
  </si>
  <si>
    <t>LF036</t>
  </si>
  <si>
    <t>Wooden block</t>
  </si>
  <si>
    <t>Jan Kurtz GmbH</t>
  </si>
  <si>
    <t>LF-020</t>
  </si>
  <si>
    <t>Wooden side chair small</t>
  </si>
  <si>
    <t>Linteloo</t>
  </si>
  <si>
    <t>LF-043</t>
  </si>
  <si>
    <t>Woven natural lounge chair</t>
  </si>
  <si>
    <t>Mater A/S</t>
  </si>
  <si>
    <t>LF-012</t>
  </si>
  <si>
    <t>Wrap lounge chair LF042</t>
  </si>
  <si>
    <t>FL042</t>
  </si>
  <si>
    <t>Blocks</t>
  </si>
  <si>
    <t>Sport / Entertainment</t>
  </si>
  <si>
    <t>For Yoga</t>
  </si>
  <si>
    <t>TRX bands</t>
  </si>
  <si>
    <t>Life Safety</t>
  </si>
  <si>
    <t>Various games</t>
  </si>
  <si>
    <t>Various set of family games</t>
  </si>
  <si>
    <t>Yoga mat</t>
  </si>
  <si>
    <t>?</t>
  </si>
  <si>
    <t>Baby changing table</t>
  </si>
  <si>
    <t>Kingdom Hotel Supplies</t>
  </si>
  <si>
    <t>SA011</t>
  </si>
  <si>
    <t>Children high chair</t>
  </si>
  <si>
    <t>Stokke</t>
  </si>
  <si>
    <t>Archive cabinet</t>
  </si>
  <si>
    <t>Office furniture</t>
  </si>
  <si>
    <t>IME</t>
  </si>
  <si>
    <t>BHV Tas</t>
  </si>
  <si>
    <t>Office supplies / stationary</t>
  </si>
  <si>
    <t>Manutan</t>
  </si>
  <si>
    <t>Brievenbus</t>
  </si>
  <si>
    <t>(masterkey)</t>
  </si>
  <si>
    <t>Cabinet</t>
  </si>
  <si>
    <t>(lockable chemicals)</t>
  </si>
  <si>
    <t>(lockable L&amp;F) &amp; (paperwork)</t>
  </si>
  <si>
    <t>Chairs</t>
  </si>
  <si>
    <t>Coat hooks and hangers</t>
  </si>
  <si>
    <t>Desk</t>
  </si>
  <si>
    <t>Including chair</t>
  </si>
  <si>
    <t>Drop safe</t>
  </si>
  <si>
    <t>Ladders</t>
  </si>
  <si>
    <t>Lockers</t>
  </si>
  <si>
    <t>Whiteboard</t>
  </si>
  <si>
    <t>Bins</t>
  </si>
  <si>
    <t>Waste disposal</t>
  </si>
  <si>
    <t>Lundqvist</t>
  </si>
  <si>
    <t>4 afvalstromen - gelijk aan restaurant</t>
  </si>
  <si>
    <t>Board games</t>
  </si>
  <si>
    <t>Entertainment</t>
  </si>
  <si>
    <t>U-hook</t>
  </si>
  <si>
    <t>U-Mirror</t>
  </si>
  <si>
    <t>U-pillow</t>
  </si>
  <si>
    <t xml:space="preserve">U-dome </t>
  </si>
  <si>
    <t>Artwork 1/picture incl frame</t>
  </si>
  <si>
    <t>in Artelia list</t>
  </si>
  <si>
    <t>Artwork 2/picture incl frame</t>
  </si>
  <si>
    <t>Artwork3/picture incl frame</t>
  </si>
  <si>
    <t>Artwork4</t>
  </si>
  <si>
    <t>Artwork El switch</t>
  </si>
  <si>
    <t>Statue</t>
  </si>
  <si>
    <t>Little Table Lamp</t>
  </si>
  <si>
    <t>Decorative littla table lamp</t>
  </si>
  <si>
    <t>Bed throw 1340x2400mm</t>
  </si>
  <si>
    <t>Armchair pillow</t>
  </si>
  <si>
    <t>Bed deco pillow</t>
  </si>
  <si>
    <t>Terrace pillows</t>
  </si>
  <si>
    <t>tv</t>
  </si>
  <si>
    <t>Bean bag</t>
  </si>
  <si>
    <t>Sack it</t>
  </si>
  <si>
    <t>LF-015</t>
  </si>
  <si>
    <t>Springbox bed  Zip&amp;link 1800x2100</t>
  </si>
  <si>
    <t>Springbox bed 1600x2100</t>
  </si>
  <si>
    <t>Springbox bed 1600x2000</t>
  </si>
  <si>
    <t>Springbox bed 900x2100</t>
  </si>
  <si>
    <t>Sofabed 1600x2000</t>
  </si>
  <si>
    <t>Linnen at work</t>
  </si>
  <si>
    <t>Bunk bed 900x2100</t>
  </si>
  <si>
    <t>Armchair bed 900x2000</t>
  </si>
  <si>
    <t>Headboard 2150mm</t>
  </si>
  <si>
    <t>Headboard 1600mm</t>
  </si>
  <si>
    <t>TV frame shelf</t>
  </si>
  <si>
    <t>Bedside tables</t>
  </si>
  <si>
    <t>Terrace table</t>
  </si>
  <si>
    <t>Wardrobe</t>
  </si>
  <si>
    <t>Wardrobe mirrored</t>
  </si>
  <si>
    <t>Mini bar Cabinet</t>
  </si>
  <si>
    <t>Cloth rack</t>
  </si>
  <si>
    <t>Small shelf</t>
  </si>
  <si>
    <t>Carpet A 2800x2000</t>
  </si>
  <si>
    <t>Carpet B 2500x2000</t>
  </si>
  <si>
    <t>Carpet C 3000x2000</t>
  </si>
  <si>
    <t>Curtains</t>
  </si>
  <si>
    <t>Door stopper</t>
  </si>
  <si>
    <t>Bathroom mirror</t>
  </si>
  <si>
    <t>Towel Shelf</t>
  </si>
  <si>
    <t>Cleaning signage/communication</t>
  </si>
  <si>
    <t>Signage</t>
  </si>
  <si>
    <t>Emergency floorplan and exits</t>
  </si>
  <si>
    <t>Security</t>
  </si>
  <si>
    <t>Lakeside</t>
  </si>
  <si>
    <t>Gym instructions / t&amp;c</t>
  </si>
  <si>
    <t>Indoor signage</t>
  </si>
  <si>
    <t>based on Rdam/Brussels</t>
  </si>
  <si>
    <t>Launderette instructions/signage</t>
  </si>
  <si>
    <t>Roomsignage</t>
  </si>
  <si>
    <t>escape plan</t>
  </si>
  <si>
    <t>A4 print paper - non branded</t>
  </si>
  <si>
    <t>Branded stationary</t>
  </si>
  <si>
    <t>Merel?</t>
  </si>
  <si>
    <t>5 x 500 vel</t>
  </si>
  <si>
    <t>Ballpen</t>
  </si>
  <si>
    <t>Bunzl</t>
  </si>
  <si>
    <t>Non branded</t>
  </si>
  <si>
    <t>Employees must wash hands</t>
  </si>
  <si>
    <t>Envelopes</t>
  </si>
  <si>
    <t>Minibar/room fridge instructions</t>
  </si>
  <si>
    <t>Branded signage</t>
  </si>
  <si>
    <t>Mirror lettering</t>
  </si>
  <si>
    <t>Price tags</t>
  </si>
  <si>
    <t>Price tags for merchandise display</t>
  </si>
  <si>
    <t>QR code menu block holders</t>
  </si>
  <si>
    <t>Stickerroll (bowls)</t>
  </si>
  <si>
    <t>to be continued</t>
  </si>
  <si>
    <t>Take Away Cups - 3 versions</t>
  </si>
  <si>
    <t>Totebag bin</t>
  </si>
  <si>
    <t>Everyday design</t>
  </si>
  <si>
    <t>Window/mirror markers</t>
  </si>
  <si>
    <t>Kids Colouring Book</t>
  </si>
  <si>
    <t>Blocknotes</t>
  </si>
  <si>
    <t>Pencil</t>
  </si>
  <si>
    <t>Balpen The Usual</t>
  </si>
  <si>
    <t>Keycards The Usual</t>
  </si>
  <si>
    <t>Uniform T-Shirt</t>
  </si>
  <si>
    <t>Incl in P9</t>
  </si>
  <si>
    <t>Uniform Sweater</t>
  </si>
  <si>
    <t xml:space="preserve">Sticky Notes Roomnumber </t>
  </si>
  <si>
    <t>Key drop off box</t>
  </si>
  <si>
    <t>Key box</t>
  </si>
  <si>
    <t>Guest message cards - 3 versions</t>
  </si>
  <si>
    <t>Coffee Stamp Card</t>
  </si>
  <si>
    <t>Food Stamp Card</t>
  </si>
  <si>
    <t>Do Not Disturb Doorsign</t>
  </si>
  <si>
    <t>Pet Friendly Doorsign</t>
  </si>
  <si>
    <t>Coaster - 2 versions</t>
  </si>
  <si>
    <t>Drinkvoucher</t>
  </si>
  <si>
    <t>Wooden luggage tag, reusable</t>
  </si>
  <si>
    <t>Room magnets</t>
  </si>
  <si>
    <t>In Room Menu Sign</t>
  </si>
  <si>
    <t xml:space="preserve">Restaurant Menu </t>
  </si>
  <si>
    <t>Buffet Items Signs</t>
  </si>
  <si>
    <t>Price Sign Drinks / Food</t>
  </si>
  <si>
    <t>Allergen Sign</t>
  </si>
  <si>
    <t>Crockery Trolley Stickering</t>
  </si>
  <si>
    <t>Hairdryer Bag</t>
  </si>
  <si>
    <t>Interior Material Booklets</t>
  </si>
  <si>
    <t>Made Blue Glass Bottles</t>
  </si>
  <si>
    <t>Made BlueRefillable Bottles</t>
  </si>
  <si>
    <t>Lettering signage eco-switch</t>
  </si>
  <si>
    <t>Lettering signage mirror</t>
  </si>
  <si>
    <t xml:space="preserve">Lettering signage lightswitch </t>
  </si>
  <si>
    <t xml:space="preserve">Window Lettering Signage - general </t>
  </si>
  <si>
    <t>Payment signage</t>
  </si>
  <si>
    <t>Locker instructions</t>
  </si>
  <si>
    <t>Merchandise Pricelist</t>
  </si>
  <si>
    <t>Keychains City Signature</t>
  </si>
  <si>
    <t xml:space="preserve">Recycling signage icons vinyl </t>
  </si>
  <si>
    <t>Stickerrolls incl table dispenser</t>
  </si>
  <si>
    <t>Tote Bag</t>
  </si>
  <si>
    <t>Umbrella</t>
  </si>
  <si>
    <t>Sticker lettering - general wayfinding signage</t>
  </si>
  <si>
    <t>Click frames for communication - set of 10</t>
  </si>
  <si>
    <t xml:space="preserve">Pricing signs - set of 6 </t>
  </si>
  <si>
    <t>H&amp;S poster plastificeren - min 5</t>
  </si>
  <si>
    <t>Biobased drink tokens - min 1000</t>
  </si>
  <si>
    <t>A Frame or rounded sidewalk Sign G&amp;W</t>
  </si>
  <si>
    <t>Table Talkers G&amp;W - set of 6</t>
  </si>
  <si>
    <t xml:space="preserve">Open/Closed slider </t>
  </si>
  <si>
    <t>Extra wayfinding sign fG&amp;W lexible use</t>
  </si>
  <si>
    <t>Table top extra promotion</t>
  </si>
  <si>
    <t>Marie Stella Maris merchandise x 4 items</t>
  </si>
  <si>
    <t xml:space="preserve">Hotel styling during festive season </t>
  </si>
  <si>
    <t>Additional based on renders / 4* ?</t>
  </si>
  <si>
    <t xml:space="preserve">Cleaning signage/communication </t>
  </si>
  <si>
    <t>Name badges</t>
  </si>
  <si>
    <t>Bath and shower gel small bottle</t>
  </si>
  <si>
    <t>see P22</t>
  </si>
  <si>
    <t>Blankets</t>
  </si>
  <si>
    <t>Soft furnishing</t>
  </si>
  <si>
    <t>Hairdryer + bag</t>
  </si>
  <si>
    <t>Electronic equipment</t>
  </si>
  <si>
    <t>Hooks</t>
  </si>
  <si>
    <t>Ironboards + iron</t>
  </si>
  <si>
    <t>Lockable holder</t>
  </si>
  <si>
    <t>Magnets</t>
  </si>
  <si>
    <t>Decorative accessories</t>
  </si>
  <si>
    <t>Pantry items</t>
  </si>
  <si>
    <t>Kitchen</t>
  </si>
  <si>
    <t>Waterkooker</t>
  </si>
  <si>
    <t>Nespresso</t>
  </si>
  <si>
    <t>Nespresso coffee machine (small)</t>
  </si>
  <si>
    <t>Nespresso coffee cup holder</t>
  </si>
  <si>
    <t>Wateringcan for irons</t>
  </si>
  <si>
    <t>Radio</t>
  </si>
  <si>
    <t>Tray</t>
  </si>
  <si>
    <t>Luggage Rack</t>
  </si>
  <si>
    <t>Recycle bins</t>
  </si>
  <si>
    <t xml:space="preserve">Kettle </t>
  </si>
  <si>
    <t>soap dispenser</t>
  </si>
  <si>
    <t>Telephone</t>
  </si>
  <si>
    <t>minibar</t>
  </si>
  <si>
    <t>Safe</t>
  </si>
  <si>
    <t>Matras+protector</t>
  </si>
  <si>
    <t>Topper</t>
  </si>
  <si>
    <t>in Artelia</t>
  </si>
  <si>
    <t>Hangers</t>
  </si>
  <si>
    <t>Hairdryer</t>
  </si>
  <si>
    <t>see above</t>
  </si>
  <si>
    <t>coffee/ tray / glassware/crockery set etc.</t>
  </si>
  <si>
    <t>pedal bin</t>
  </si>
  <si>
    <t>new stand</t>
  </si>
  <si>
    <t>in FF&amp;E contractor scope</t>
  </si>
  <si>
    <t>Flower pod</t>
  </si>
  <si>
    <t>Ferm LIVING ApS</t>
  </si>
  <si>
    <t>AC-010</t>
  </si>
  <si>
    <t>Body wash</t>
  </si>
  <si>
    <t>Toiletries</t>
  </si>
  <si>
    <t>Marie Stella Maris</t>
  </si>
  <si>
    <t>No 07 Voiage Vetivier 500ml dispenser</t>
  </si>
  <si>
    <t>No 12 Objets d'Amsterdam</t>
  </si>
  <si>
    <t>Body wash - refill</t>
  </si>
  <si>
    <t>No 12 Objets d'Amsterdam 5000ml</t>
  </si>
  <si>
    <t>No 07 Voyage Vetiver 5000ml</t>
  </si>
  <si>
    <t>Conditioner</t>
  </si>
  <si>
    <t>Conditioner - refill</t>
  </si>
  <si>
    <t>Dryer/washingmachine</t>
  </si>
  <si>
    <t>Miele</t>
  </si>
  <si>
    <t>Hand cream</t>
  </si>
  <si>
    <t>Hand soap</t>
  </si>
  <si>
    <t>Hand soap - refill</t>
  </si>
  <si>
    <t>Black steel</t>
  </si>
  <si>
    <t>Outside bin + smoking pole</t>
  </si>
  <si>
    <t>Other</t>
  </si>
  <si>
    <t>RVS</t>
  </si>
  <si>
    <t>Shampoo</t>
  </si>
  <si>
    <t>Shampoo - refill</t>
  </si>
  <si>
    <t>Walkie Talkie set</t>
  </si>
  <si>
    <t>Water bottle</t>
  </si>
  <si>
    <t>Bar</t>
  </si>
  <si>
    <t>Made blue</t>
  </si>
  <si>
    <t>AED</t>
  </si>
  <si>
    <t>Fireblankets</t>
  </si>
  <si>
    <t>Long stay</t>
  </si>
  <si>
    <t>Inprevo</t>
  </si>
  <si>
    <t>Safe, yet the BMW and not the roll royce</t>
  </si>
  <si>
    <t>First aid box</t>
  </si>
  <si>
    <t>Guestroom equipment</t>
  </si>
  <si>
    <t>First aid set</t>
  </si>
  <si>
    <t>Desk small</t>
  </si>
  <si>
    <t>Desk chair</t>
  </si>
  <si>
    <t>Terrace chair</t>
  </si>
  <si>
    <t>Armchair Big</t>
  </si>
  <si>
    <t>Armchair Small</t>
  </si>
  <si>
    <t>Pouf</t>
  </si>
  <si>
    <t>Coffee Table</t>
  </si>
  <si>
    <t>Entrance table</t>
  </si>
  <si>
    <t>Fixed sofa terrace</t>
  </si>
  <si>
    <t>Table Lamp</t>
  </si>
  <si>
    <t>Floor lamp</t>
  </si>
  <si>
    <t>Ceiling Lamp</t>
  </si>
  <si>
    <t>Wall lamp</t>
  </si>
  <si>
    <t>Duvet</t>
  </si>
  <si>
    <t>Pillows + protector</t>
  </si>
  <si>
    <t>Moving company</t>
  </si>
  <si>
    <t>cotton pads</t>
  </si>
  <si>
    <t>Sustainable, on demand</t>
  </si>
  <si>
    <t>Facial tissues</t>
  </si>
  <si>
    <t>International plug</t>
  </si>
  <si>
    <t>Cheap but safe</t>
  </si>
  <si>
    <t>Mousepad</t>
  </si>
  <si>
    <t>Plain</t>
  </si>
  <si>
    <t>Nail file</t>
  </si>
  <si>
    <t>Qtips</t>
  </si>
  <si>
    <t>Sewing kit</t>
  </si>
  <si>
    <t>Shaving kit</t>
  </si>
  <si>
    <t>Shoe polish machine</t>
  </si>
  <si>
    <t>Shower cap</t>
  </si>
  <si>
    <t>Suitcase scale (digital)</t>
  </si>
  <si>
    <t>Toothbrush &amp; toothpaste</t>
  </si>
  <si>
    <t>Umbrella holder</t>
  </si>
  <si>
    <t>Fietspomp</t>
  </si>
  <si>
    <t>TD supplies</t>
  </si>
  <si>
    <t>TD Supplies</t>
  </si>
  <si>
    <t>Wuhrt</t>
  </si>
  <si>
    <t>Branded uniform</t>
  </si>
  <si>
    <t>Flowers local supplier</t>
  </si>
  <si>
    <t>Decoration</t>
  </si>
  <si>
    <t xml:space="preserve">towels, cloths etc. </t>
  </si>
  <si>
    <t>fitness equipment</t>
  </si>
  <si>
    <t>Life fitness</t>
  </si>
  <si>
    <t>payment terms</t>
  </si>
  <si>
    <t>Jan</t>
  </si>
  <si>
    <t>Feb</t>
  </si>
  <si>
    <t>Mrt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</si>
  <si>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</si>
  <si>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</si>
  <si>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</si>
  <si>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</si>
  <si>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</si>
  <si>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</si>
  <si>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</si>
  <si>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</si>
  <si>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</si>
  <si>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Comments:</t>
  </si>
  <si>
    <t>Crown International</t>
  </si>
  <si>
    <t>30% up front, 70% after delivery</t>
  </si>
  <si>
    <t>Hilding Anders</t>
  </si>
  <si>
    <t>50% after order placement, 50% before delivery.</t>
  </si>
  <si>
    <t>Essem Design</t>
  </si>
  <si>
    <t>Star Linen</t>
  </si>
  <si>
    <t>kingdom hotel supplies</t>
  </si>
  <si>
    <t>bol.com</t>
  </si>
  <si>
    <t>100% up front</t>
  </si>
  <si>
    <t>50% after order placement, 30% before delivery, 20% 30 days after</t>
  </si>
  <si>
    <t>Hobeka</t>
  </si>
  <si>
    <t>50% after order placement, 45% before delivery, 5% 30 days after.</t>
  </si>
  <si>
    <t>100% after delivery</t>
  </si>
  <si>
    <t>Nonius</t>
  </si>
  <si>
    <t>40% up front, 60% after delivery</t>
  </si>
  <si>
    <t>Hydrozorg</t>
  </si>
  <si>
    <t>doublestitch</t>
  </si>
  <si>
    <t>deudekom</t>
  </si>
  <si>
    <t>Contingency</t>
  </si>
  <si>
    <t>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</si>
</sst>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€&quot;\ * #,##0.00_ ;_ &quot;€&quot;\ * \-#,##0.00_ ;_ &quot;€&quot;\ * &quot;-&quot;??_ ;_ @_ "/>
    <numFmt numFmtId="165" formatCode="&quot;€&quot;\ #,##0.00_);[Red]\(&quot;€&quot;\ #,##0.00\)"/>
    <numFmt numFmtId="166" formatCode="_(&quot;€&quot;\ * #,##0.00_);_(&quot;€&quot;\ * \(#,##0.00\);_(&quot;€&quot;\ * &quot;-&quot;??_);_(@_)"/>
    <numFmt numFmtId="167" formatCode="#,##0.00\ &quot;€&quot;"/>
    <numFmt numFmtId="168" formatCode="&quot;€&quot;\ #,##0.00"/>
    <numFmt numFmtId="169" formatCode="_ &quot;€&quot;\ * #,##0_ ;_ &quot;€&quot;\ * \-#,##0_ ;_ &quot;€&quot;\ * &quot;-&quot;??_ ;_ @_ "/>
    <numFmt numFmtId="171" formatCode="#,##0;\(#,##0\);\-"/>
  </numFmts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 Narrow"/>
      <family val="2"/>
    </font>
    <font>
      <sz val="12"/>
      <color theme="0"/>
      <name val="Calibri"/>
      <family val="2"/>
      <scheme val="minor"/>
    </font>
    <font>
      <sz val="12"/>
      <color theme="1"/>
      <name val="Calibri (Hoofdtekst)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Roobert Light"/>
    </font>
    <font>
      <sz val="12"/>
      <color rgb="FFFF0000"/>
      <name val="Roobert Light"/>
    </font>
    <font>
      <sz val="12"/>
      <color rgb="FF000000"/>
      <name val="Roobert Light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 (Hoofdtekst)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0" fontId="1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164" fontId="15" fillId="0" borderId="0" applyFont="0" applyFill="0" applyBorder="0" applyAlignment="0" applyProtection="0"/>
  </cellStyleXfs>
  <cellXfs count="89">
    <xf numFmtId="0" fontId="0" fillId="0" borderId="0" xfId="0"/>
    <xf numFmtId="166" fontId="0" fillId="0" borderId="0" xfId="1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left"/>
    </xf>
    <xf numFmtId="14" fontId="4" fillId="0" borderId="0" xfId="0" applyNumberFormat="1" applyFont="1"/>
    <xf numFmtId="0" fontId="4" fillId="2" borderId="2" xfId="0" applyFont="1" applyFill="1" applyBorder="1"/>
    <xf numFmtId="0" fontId="4" fillId="2" borderId="3" xfId="0" applyFont="1" applyFill="1" applyBorder="1"/>
    <xf numFmtId="167" fontId="5" fillId="2" borderId="3" xfId="0" applyNumberFormat="1" applyFont="1" applyFill="1" applyBorder="1"/>
    <xf numFmtId="0" fontId="6" fillId="0" borderId="5" xfId="0" applyFont="1" applyBorder="1" applyAlignment="1">
      <alignment horizontal="center"/>
    </xf>
    <xf numFmtId="0" fontId="6" fillId="0" borderId="1" xfId="0" applyFont="1" applyBorder="1"/>
    <xf numFmtId="167" fontId="7" fillId="0" borderId="1" xfId="0" applyNumberFormat="1" applyFont="1" applyBorder="1"/>
    <xf numFmtId="0" fontId="6" fillId="0" borderId="6" xfId="0" applyFont="1" applyBorder="1" applyAlignment="1">
      <alignment horizontal="center"/>
    </xf>
    <xf numFmtId="0" fontId="0" fillId="0" borderId="1" xfId="0" applyBorder="1"/>
    <xf numFmtId="166" fontId="0" fillId="0" borderId="1" xfId="1" applyFont="1" applyBorder="1"/>
    <xf numFmtId="0" fontId="0" fillId="0" borderId="8" xfId="0" applyBorder="1"/>
    <xf numFmtId="166" fontId="0" fillId="0" borderId="8" xfId="1" applyFont="1" applyBorder="1"/>
    <xf numFmtId="0" fontId="2" fillId="0" borderId="7" xfId="0" applyFont="1" applyBorder="1" applyAlignment="1">
      <alignment horizontal="left"/>
    </xf>
    <xf numFmtId="166" fontId="2" fillId="0" borderId="7" xfId="1" applyFont="1" applyBorder="1" applyAlignment="1">
      <alignment horizontal="left"/>
    </xf>
    <xf numFmtId="0" fontId="8" fillId="0" borderId="7" xfId="0" applyFont="1" applyBorder="1"/>
    <xf numFmtId="166" fontId="8" fillId="0" borderId="7" xfId="1" applyFont="1" applyBorder="1"/>
    <xf numFmtId="0" fontId="0" fillId="3" borderId="1" xfId="0" applyFill="1" applyBorder="1"/>
    <xf numFmtId="166" fontId="8" fillId="0" borderId="1" xfId="1" applyFont="1" applyBorder="1"/>
    <xf numFmtId="0" fontId="6" fillId="0" borderId="0" xfId="0" applyFont="1"/>
    <xf numFmtId="168" fontId="0" fillId="0" borderId="0" xfId="0" applyNumberFormat="1"/>
    <xf numFmtId="0" fontId="6" fillId="0" borderId="9" xfId="0" applyFont="1" applyBorder="1" applyAlignment="1">
      <alignment horizontal="center"/>
    </xf>
    <xf numFmtId="0" fontId="6" fillId="0" borderId="10" xfId="0" applyFont="1" applyBorder="1"/>
    <xf numFmtId="0" fontId="6" fillId="0" borderId="1" xfId="0" applyFont="1" applyBorder="1" applyAlignment="1">
      <alignment horizontal="center"/>
    </xf>
    <xf numFmtId="0" fontId="6" fillId="0" borderId="11" xfId="0" applyFont="1" applyBorder="1"/>
    <xf numFmtId="16" fontId="6" fillId="0" borderId="1" xfId="0" applyNumberFormat="1" applyFont="1" applyBorder="1"/>
    <xf numFmtId="166" fontId="0" fillId="0" borderId="1" xfId="1" applyFont="1" applyFill="1" applyBorder="1" applyAlignment="1">
      <alignment vertical="top"/>
    </xf>
    <xf numFmtId="0" fontId="8" fillId="0" borderId="0" xfId="0" applyFont="1"/>
    <xf numFmtId="0" fontId="6" fillId="0" borderId="0" xfId="0" applyFont="1" applyAlignment="1">
      <alignment horizontal="center"/>
    </xf>
    <xf numFmtId="167" fontId="7" fillId="0" borderId="0" xfId="0" applyNumberFormat="1" applyFont="1"/>
    <xf numFmtId="0" fontId="12" fillId="0" borderId="1" xfId="3" applyFont="1" applyFill="1" applyBorder="1" applyAlignment="1">
      <alignment vertical="center"/>
    </xf>
    <xf numFmtId="0" fontId="12" fillId="0" borderId="1" xfId="4" applyFont="1" applyFill="1" applyBorder="1" applyAlignment="1">
      <alignment vertical="center"/>
    </xf>
    <xf numFmtId="0" fontId="12" fillId="0" borderId="1" xfId="5" applyFont="1" applyFill="1" applyBorder="1" applyAlignment="1">
      <alignment vertical="center"/>
    </xf>
    <xf numFmtId="0" fontId="12" fillId="0" borderId="1" xfId="2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166" fontId="0" fillId="0" borderId="1" xfId="1" applyFont="1" applyFill="1" applyBorder="1"/>
    <xf numFmtId="0" fontId="1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166" fontId="2" fillId="0" borderId="1" xfId="1" applyFont="1" applyFill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165" fontId="0" fillId="0" borderId="1" xfId="0" applyNumberFormat="1" applyBorder="1"/>
    <xf numFmtId="165" fontId="0" fillId="0" borderId="0" xfId="0" applyNumberFormat="1"/>
    <xf numFmtId="166" fontId="0" fillId="0" borderId="0" xfId="1" applyFont="1" applyFill="1" applyAlignment="1">
      <alignment vertical="top"/>
    </xf>
    <xf numFmtId="0" fontId="10" fillId="0" borderId="1" xfId="0" applyFont="1" applyBorder="1"/>
    <xf numFmtId="164" fontId="0" fillId="0" borderId="1" xfId="6" applyFont="1" applyFill="1" applyBorder="1"/>
    <xf numFmtId="169" fontId="0" fillId="0" borderId="1" xfId="6" applyNumberFormat="1" applyFont="1" applyFill="1" applyBorder="1"/>
    <xf numFmtId="164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vertical="top"/>
    </xf>
    <xf numFmtId="164" fontId="0" fillId="8" borderId="1" xfId="6" applyFont="1" applyFill="1" applyBorder="1"/>
    <xf numFmtId="166" fontId="0" fillId="8" borderId="1" xfId="1" applyFont="1" applyFill="1" applyBorder="1"/>
    <xf numFmtId="0" fontId="19" fillId="0" borderId="1" xfId="0" applyFont="1" applyBorder="1"/>
    <xf numFmtId="0" fontId="18" fillId="0" borderId="1" xfId="0" applyFont="1" applyBorder="1"/>
    <xf numFmtId="0" fontId="18" fillId="9" borderId="1" xfId="0" applyFont="1" applyFill="1" applyBorder="1"/>
    <xf numFmtId="0" fontId="19" fillId="9" borderId="1" xfId="0" applyFont="1" applyFill="1" applyBorder="1"/>
    <xf numFmtId="0" fontId="12" fillId="0" borderId="0" xfId="2" applyFont="1" applyFill="1" applyBorder="1" applyAlignment="1">
      <alignment vertical="center"/>
    </xf>
    <xf numFmtId="0" fontId="12" fillId="0" borderId="0" xfId="4" applyFont="1" applyFill="1" applyBorder="1" applyAlignment="1">
      <alignment vertical="center"/>
    </xf>
    <xf numFmtId="0" fontId="20" fillId="0" borderId="1" xfId="0" applyFont="1" applyBorder="1"/>
    <xf numFmtId="0" fontId="18" fillId="10" borderId="1" xfId="0" applyFont="1" applyFill="1" applyBorder="1"/>
    <xf numFmtId="0" fontId="14" fillId="0" borderId="1" xfId="0" applyFont="1" applyBorder="1"/>
    <xf numFmtId="0" fontId="0" fillId="0" borderId="12" xfId="0" applyBorder="1" applyAlignment="1">
      <alignment vertical="top"/>
    </xf>
    <xf numFmtId="0" fontId="0" fillId="0" borderId="12" xfId="0" applyBorder="1"/>
    <xf numFmtId="0" fontId="17" fillId="0" borderId="1" xfId="0" applyFont="1" applyBorder="1"/>
    <xf numFmtId="0" fontId="0" fillId="0" borderId="8" xfId="0" applyBorder="1" applyAlignment="1">
      <alignment vertical="top"/>
    </xf>
    <xf numFmtId="0" fontId="16" fillId="0" borderId="1" xfId="0" applyFont="1" applyBorder="1"/>
    <xf numFmtId="166" fontId="21" fillId="0" borderId="1" xfId="1" applyFont="1" applyBorder="1"/>
    <xf numFmtId="166" fontId="0" fillId="0" borderId="0" xfId="1" applyFont="1" applyFill="1" applyBorder="1" applyAlignment="1">
      <alignment vertical="top"/>
    </xf>
    <xf numFmtId="166" fontId="0" fillId="0" borderId="0" xfId="1" applyFont="1" applyFill="1" applyBorder="1"/>
    <xf numFmtId="166" fontId="0" fillId="9" borderId="1" xfId="1" applyFont="1" applyFill="1" applyBorder="1"/>
    <xf numFmtId="166" fontId="21" fillId="9" borderId="1" xfId="1" applyFont="1" applyFill="1" applyBorder="1"/>
    <xf numFmtId="166" fontId="22" fillId="0" borderId="1" xfId="1" applyFont="1" applyBorder="1"/>
    <xf numFmtId="0" fontId="23" fillId="0" borderId="1" xfId="5" applyFont="1" applyFill="1" applyBorder="1" applyAlignment="1">
      <alignment vertical="center"/>
    </xf>
    <xf numFmtId="0" fontId="23" fillId="0" borderId="1" xfId="5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center"/>
    </xf>
    <xf numFmtId="167" fontId="7" fillId="11" borderId="1" xfId="0" applyNumberFormat="1" applyFont="1" applyFill="1" applyBorder="1"/>
    <xf numFmtId="0" fontId="12" fillId="12" borderId="1" xfId="5" applyFont="1" applyFill="1" applyBorder="1" applyAlignment="1">
      <alignment vertical="center"/>
    </xf>
    <xf numFmtId="0" fontId="24" fillId="0" borderId="13" xfId="0" applyFont="1" applyBorder="1"/>
    <xf numFmtId="167" fontId="25" fillId="0" borderId="14" xfId="0" applyNumberFormat="1" applyFont="1" applyBorder="1"/>
    <xf numFmtId="171" fontId="0" fillId="0" borderId="1" xfId="0" applyNumberFormat="1" applyBorder="1" applyAlignment="1">
      <alignment horizontal="center" vertical="top"/>
    </xf>
    <xf numFmtId="171" fontId="0" fillId="8" borderId="1" xfId="0" applyNumberFormat="1" applyFill="1" applyBorder="1" applyAlignment="1">
      <alignment horizontal="center" vertical="top"/>
    </xf>
    <xf numFmtId="171" fontId="0" fillId="0" borderId="1" xfId="0" applyNumberFormat="1" applyBorder="1" applyAlignment="1">
      <alignment horizontal="center"/>
    </xf>
    <xf numFmtId="171" fontId="0" fillId="0" borderId="0" xfId="0" applyNumberFormat="1" applyAlignment="1">
      <alignment horizontal="center" vertical="top"/>
    </xf>
    <xf numFmtId="171" fontId="0" fillId="0" borderId="0" xfId="0" applyNumberFormat="1" applyAlignment="1">
      <alignment horizontal="center"/>
    </xf>
  </cellXfs>
  <cellStyles count="7">
    <cellStyle name="20% - Accent2" xfId="3" builtinId="34"/>
    <cellStyle name="40% - Accent2" xfId="4" builtinId="35"/>
    <cellStyle name="60% - Accent2" xfId="5" builtinId="36"/>
    <cellStyle name="Accent2" xfId="2" builtinId="33"/>
    <cellStyle name="Currency" xfId="1" builtinId="4"/>
    <cellStyle name="Normal" xfId="0" builtinId="0"/>
    <cellStyle name="Valuta 2" xfId="6" xr:uid="{AAD14217-010D-DF45-8977-45658F932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D791-54EB-FF48-8D50-CFA471E8AC1C}">
  <dimension ref="A1:I45"/>
  <sheetViews>
    <sheetView topLeftCell="A20" zoomScaleNormal="100" workbookViewId="0">
      <selection activeCell="C38" sqref="C38"/>
    </sheetView>
  </sheetViews>
  <sheetFormatPr defaultColWidth="11.5" defaultRowHeight="18.95" customHeight="1"/>
  <cols>
    <col min="2" max="2" width="34" bestFit="1" customWidth="1"/>
    <col min="3" max="3" width="31.25" customWidth="1"/>
    <col min="4" max="4" width="24.125" hidden="1" customWidth="1"/>
    <col min="5" max="5" width="10.375" bestFit="1" customWidth="1"/>
    <col min="6" max="6" width="7.875" bestFit="1" customWidth="1"/>
    <col min="7" max="7" width="9" customWidth="1"/>
    <col min="8" max="8" width="9.375" bestFit="1" customWidth="1"/>
    <col min="9" max="9" width="53" style="32" customWidth="1"/>
    <col min="13" max="13" width="11.875" bestFit="1" customWidth="1"/>
  </cols>
  <sheetData>
    <row r="1" spans="1:9" ht="18.95" customHeight="1">
      <c r="B1" s="2" t="s">
        <v>0</v>
      </c>
      <c r="C1" s="3"/>
      <c r="D1" s="3"/>
      <c r="E1" s="3"/>
      <c r="F1" s="3"/>
      <c r="G1" s="3"/>
      <c r="H1" s="3"/>
    </row>
    <row r="2" spans="1:9" ht="18.95" customHeight="1">
      <c r="B2" s="3"/>
      <c r="C2" s="3"/>
      <c r="D2" s="3"/>
      <c r="E2" s="3"/>
      <c r="F2" s="3"/>
      <c r="G2" s="3"/>
      <c r="H2" s="3"/>
    </row>
    <row r="3" spans="1:9" ht="18.95" customHeight="1">
      <c r="B3" s="3" t="s">
        <v>1</v>
      </c>
      <c r="C3" s="3" t="s">
        <v>2</v>
      </c>
      <c r="D3" s="3"/>
      <c r="E3" s="3"/>
      <c r="F3" s="3"/>
      <c r="G3" s="3"/>
      <c r="H3" s="3"/>
    </row>
    <row r="4" spans="1:9" ht="18.95" customHeight="1">
      <c r="B4" s="3" t="s">
        <v>3</v>
      </c>
      <c r="C4" s="3" t="s">
        <v>4</v>
      </c>
      <c r="D4" s="3"/>
      <c r="E4" s="3"/>
      <c r="F4" s="3"/>
      <c r="G4" s="3"/>
      <c r="H4" s="3"/>
    </row>
    <row r="5" spans="1:9" ht="18.95" customHeight="1">
      <c r="B5" s="3" t="s">
        <v>5</v>
      </c>
      <c r="C5" s="4"/>
      <c r="D5" s="4"/>
      <c r="E5" s="3"/>
      <c r="F5" s="3"/>
      <c r="G5" s="3"/>
      <c r="H5" s="3"/>
    </row>
    <row r="6" spans="1:9" ht="18.95" customHeight="1">
      <c r="B6" s="3"/>
      <c r="C6" s="5"/>
      <c r="D6" s="5"/>
      <c r="E6" s="3"/>
      <c r="F6" s="3"/>
      <c r="G6" s="3"/>
      <c r="H6" s="3"/>
    </row>
    <row r="7" spans="1:9" ht="18.95" customHeight="1">
      <c r="A7" s="6" t="s">
        <v>6</v>
      </c>
      <c r="B7" s="7" t="s">
        <v>7</v>
      </c>
      <c r="C7" s="7" t="s">
        <v>8</v>
      </c>
      <c r="D7" s="7" t="s">
        <v>9</v>
      </c>
      <c r="E7" s="8" t="s">
        <v>10</v>
      </c>
      <c r="F7" s="8" t="s">
        <v>11</v>
      </c>
      <c r="G7" s="8" t="s">
        <v>12</v>
      </c>
      <c r="H7" s="7" t="s">
        <v>13</v>
      </c>
      <c r="I7" s="79" t="s">
        <v>14</v>
      </c>
    </row>
    <row r="8" spans="1:9" ht="18.95" customHeight="1">
      <c r="A8" s="9" t="s">
        <v>15</v>
      </c>
      <c r="B8" s="10" t="s">
        <v>16</v>
      </c>
      <c r="C8" s="11">
        <f>SUMIF('OS&amp;E_FF&amp;E'!$A:$A,Overview!$A8,'OS&amp;E_FF&amp;E'!$H:$H)</f>
        <v>0</v>
      </c>
      <c r="D8" s="11"/>
      <c r="E8" s="10"/>
      <c r="F8" s="10"/>
      <c r="G8" s="29"/>
      <c r="H8" s="10" t="s">
        <v>17</v>
      </c>
      <c r="I8" s="12"/>
    </row>
    <row r="9" spans="1:9" ht="18.95" customHeight="1">
      <c r="A9" s="9" t="s">
        <v>18</v>
      </c>
      <c r="B9" s="10" t="s">
        <v>19</v>
      </c>
      <c r="C9" s="11">
        <f>SUMIF('OS&amp;E_FF&amp;E'!$A:$A,Overview!$A9,'OS&amp;E_FF&amp;E'!$H:$H)</f>
        <v>0</v>
      </c>
      <c r="D9" s="11"/>
      <c r="E9" s="10"/>
      <c r="F9" s="10"/>
      <c r="G9" s="29"/>
      <c r="H9" s="10" t="s">
        <v>17</v>
      </c>
      <c r="I9" s="12"/>
    </row>
    <row r="10" spans="1:9" ht="18.95" customHeight="1">
      <c r="A10" s="9" t="s">
        <v>20</v>
      </c>
      <c r="B10" s="10" t="s">
        <v>21</v>
      </c>
      <c r="C10" s="11">
        <f>SUMIF('OS&amp;E_FF&amp;E'!$A:$A,Overview!$A10,'OS&amp;E_FF&amp;E'!$H:$H)</f>
        <v>0</v>
      </c>
      <c r="D10" s="11"/>
      <c r="E10" s="10"/>
      <c r="F10" s="10"/>
      <c r="G10" s="29"/>
      <c r="H10" s="10" t="s">
        <v>17</v>
      </c>
      <c r="I10" s="12"/>
    </row>
    <row r="11" spans="1:9" ht="18.95" customHeight="1">
      <c r="A11" s="9" t="s">
        <v>22</v>
      </c>
      <c r="B11" s="10" t="s">
        <v>23</v>
      </c>
      <c r="C11" s="11">
        <v>0</v>
      </c>
      <c r="D11" s="11"/>
      <c r="E11" s="10"/>
      <c r="F11" s="10"/>
      <c r="G11" s="29"/>
      <c r="H11" s="10" t="s">
        <v>17</v>
      </c>
      <c r="I11" s="12" t="s">
        <v>24</v>
      </c>
    </row>
    <row r="12" spans="1:9" ht="18.95" customHeight="1">
      <c r="A12" s="9" t="s">
        <v>25</v>
      </c>
      <c r="B12" s="10" t="s">
        <v>26</v>
      </c>
      <c r="C12" s="80">
        <f>SUMIF('OS&amp;E_FF&amp;E'!$A:$A,Overview!$A12,'OS&amp;E_FF&amp;E'!$H:$H)</f>
        <v>25139.41</v>
      </c>
      <c r="D12" s="11"/>
      <c r="E12" s="10"/>
      <c r="F12" s="10"/>
      <c r="G12" s="10"/>
      <c r="H12" s="10" t="s">
        <v>27</v>
      </c>
      <c r="I12" s="12"/>
    </row>
    <row r="13" spans="1:9" ht="18.95" customHeight="1">
      <c r="A13" s="9" t="s">
        <v>28</v>
      </c>
      <c r="B13" s="10" t="s">
        <v>29</v>
      </c>
      <c r="C13" s="11">
        <f>SUMIF('OS&amp;E_FF&amp;E'!$A:$A,Overview!$A13,'OS&amp;E_FF&amp;E'!$H:$H)</f>
        <v>0</v>
      </c>
      <c r="D13" s="11"/>
      <c r="E13" s="10"/>
      <c r="F13" s="10"/>
      <c r="G13" s="10"/>
      <c r="H13" s="10" t="s">
        <v>30</v>
      </c>
      <c r="I13" s="12" t="s">
        <v>31</v>
      </c>
    </row>
    <row r="14" spans="1:9" ht="18.95" customHeight="1">
      <c r="A14" s="9" t="s">
        <v>32</v>
      </c>
      <c r="B14" s="10" t="s">
        <v>33</v>
      </c>
      <c r="C14" s="80">
        <f>SUMIF('OS&amp;E_FF&amp;E'!$A:$A,Overview!$A14,'OS&amp;E_FF&amp;E'!$H:$H)</f>
        <v>46800</v>
      </c>
      <c r="D14" s="11"/>
      <c r="E14" s="10"/>
      <c r="F14" s="10"/>
      <c r="G14" s="10"/>
      <c r="H14" s="10" t="s">
        <v>30</v>
      </c>
      <c r="I14" s="12"/>
    </row>
    <row r="15" spans="1:9" ht="18.95" customHeight="1">
      <c r="A15" s="9" t="s">
        <v>34</v>
      </c>
      <c r="B15" s="10" t="s">
        <v>35</v>
      </c>
      <c r="C15" s="80">
        <f>SUMIF('OS&amp;E_FF&amp;E'!$A:$A,Overview!$A15,'OS&amp;E_FF&amp;E'!$H:$H)</f>
        <v>12400</v>
      </c>
      <c r="D15" s="11"/>
      <c r="E15" s="10"/>
      <c r="F15" s="10"/>
      <c r="G15" s="10"/>
      <c r="H15" s="10" t="s">
        <v>36</v>
      </c>
      <c r="I15" s="12" t="s">
        <v>37</v>
      </c>
    </row>
    <row r="16" spans="1:9" ht="18.95" customHeight="1">
      <c r="A16" s="9" t="s">
        <v>38</v>
      </c>
      <c r="B16" s="10" t="s">
        <v>39</v>
      </c>
      <c r="C16" s="11">
        <f>SUMIF('OS&amp;E_FF&amp;E'!$A:$A,Overview!$A16,'OS&amp;E_FF&amp;E'!$H:$H)</f>
        <v>0</v>
      </c>
      <c r="D16" s="11"/>
      <c r="E16" s="10"/>
      <c r="F16" s="10"/>
      <c r="G16" s="10"/>
      <c r="H16" s="10"/>
      <c r="I16" s="12"/>
    </row>
    <row r="17" spans="1:9" ht="18.95" customHeight="1">
      <c r="A17" s="9" t="s">
        <v>40</v>
      </c>
      <c r="B17" s="10" t="s">
        <v>41</v>
      </c>
      <c r="C17" s="80">
        <f>SUMIF('OS&amp;E_FF&amp;E'!$A:$A,Overview!$A17,'OS&amp;E_FF&amp;E'!$H:$H)</f>
        <v>3787</v>
      </c>
      <c r="D17" s="11"/>
      <c r="E17" s="10"/>
      <c r="F17" s="10"/>
      <c r="G17" s="10"/>
      <c r="H17" s="10" t="s">
        <v>30</v>
      </c>
      <c r="I17" s="12" t="s">
        <v>42</v>
      </c>
    </row>
    <row r="18" spans="1:9" ht="18.95" customHeight="1">
      <c r="A18" s="9" t="s">
        <v>43</v>
      </c>
      <c r="B18" s="10" t="s">
        <v>44</v>
      </c>
      <c r="C18" s="80">
        <f>SUMIF('OS&amp;E_FF&amp;E'!$A:$A,Overview!$A18,'OS&amp;E_FF&amp;E'!$H:$H)</f>
        <v>5050</v>
      </c>
      <c r="D18" s="11"/>
      <c r="E18" s="10"/>
      <c r="F18" s="10"/>
      <c r="G18" s="10"/>
      <c r="H18" s="10" t="s">
        <v>45</v>
      </c>
      <c r="I18" s="12" t="s">
        <v>46</v>
      </c>
    </row>
    <row r="19" spans="1:9" ht="18.95" customHeight="1">
      <c r="A19" s="9" t="s">
        <v>47</v>
      </c>
      <c r="B19" s="10" t="s">
        <v>48</v>
      </c>
      <c r="C19" s="80">
        <f>SUMIF('OS&amp;E_FF&amp;E'!$A:$A,Overview!$A19,'OS&amp;E_FF&amp;E'!$H:$H)</f>
        <v>5000</v>
      </c>
      <c r="D19" s="11"/>
      <c r="E19" s="28"/>
      <c r="F19" s="28"/>
      <c r="G19" s="28"/>
      <c r="H19" s="10" t="s">
        <v>27</v>
      </c>
      <c r="I19" s="12" t="s">
        <v>49</v>
      </c>
    </row>
    <row r="20" spans="1:9" ht="18.95" customHeight="1">
      <c r="A20" s="9" t="s">
        <v>50</v>
      </c>
      <c r="B20" s="10" t="s">
        <v>51</v>
      </c>
      <c r="C20" s="11"/>
      <c r="D20" s="11"/>
      <c r="E20" s="10"/>
      <c r="F20" s="10"/>
      <c r="G20" s="10"/>
      <c r="H20" s="10" t="s">
        <v>45</v>
      </c>
      <c r="I20" s="12" t="s">
        <v>52</v>
      </c>
    </row>
    <row r="21" spans="1:9" ht="18.95" customHeight="1">
      <c r="A21" s="9" t="s">
        <v>53</v>
      </c>
      <c r="B21" s="10" t="s">
        <v>54</v>
      </c>
      <c r="C21" s="11"/>
      <c r="D21" s="11"/>
      <c r="E21" s="10"/>
      <c r="F21" s="10"/>
      <c r="G21" s="10"/>
      <c r="H21" s="10" t="s">
        <v>36</v>
      </c>
      <c r="I21" s="12" t="s">
        <v>55</v>
      </c>
    </row>
    <row r="22" spans="1:9" ht="18.95" customHeight="1">
      <c r="A22" s="9" t="s">
        <v>56</v>
      </c>
      <c r="B22" s="10" t="s">
        <v>57</v>
      </c>
      <c r="C22" s="11"/>
      <c r="D22" s="11"/>
      <c r="E22" s="10"/>
      <c r="F22" s="10"/>
      <c r="G22" s="10"/>
      <c r="H22" s="10" t="s">
        <v>30</v>
      </c>
      <c r="I22" s="12" t="s">
        <v>58</v>
      </c>
    </row>
    <row r="23" spans="1:9" ht="18.95" customHeight="1">
      <c r="A23" s="9" t="s">
        <v>59</v>
      </c>
      <c r="B23" s="10" t="s">
        <v>60</v>
      </c>
      <c r="C23" s="80">
        <f>SUMIF('OS&amp;E_FF&amp;E'!$A:$A,Overview!$A23,'OS&amp;E_FF&amp;E'!$H:$H)</f>
        <v>713</v>
      </c>
      <c r="D23" s="11"/>
      <c r="E23" s="10"/>
      <c r="F23" s="10"/>
      <c r="G23" s="10"/>
      <c r="H23" s="10" t="s">
        <v>45</v>
      </c>
      <c r="I23" s="12"/>
    </row>
    <row r="24" spans="1:9" ht="18.95" customHeight="1">
      <c r="A24" s="9" t="s">
        <v>61</v>
      </c>
      <c r="B24" s="10" t="s">
        <v>62</v>
      </c>
      <c r="C24" s="11"/>
      <c r="D24" s="11"/>
      <c r="E24" s="10"/>
      <c r="F24" s="10"/>
      <c r="G24" s="10"/>
      <c r="H24" s="10" t="s">
        <v>45</v>
      </c>
      <c r="I24" s="12" t="s">
        <v>52</v>
      </c>
    </row>
    <row r="25" spans="1:9" ht="18.95" customHeight="1">
      <c r="A25" s="9" t="s">
        <v>63</v>
      </c>
      <c r="B25" s="10" t="s">
        <v>64</v>
      </c>
      <c r="C25" s="80">
        <f>SUMIF('OS&amp;E_FF&amp;E'!$A:$A,Overview!$A25,'OS&amp;E_FF&amp;E'!$H:$H)</f>
        <v>6550</v>
      </c>
      <c r="D25" s="11"/>
      <c r="E25" s="10"/>
      <c r="F25" s="10"/>
      <c r="G25" s="10"/>
      <c r="H25" s="10" t="s">
        <v>30</v>
      </c>
      <c r="I25" s="12" t="s">
        <v>65</v>
      </c>
    </row>
    <row r="26" spans="1:9" ht="18.95" customHeight="1">
      <c r="A26" s="9" t="s">
        <v>66</v>
      </c>
      <c r="B26" s="10" t="s">
        <v>67</v>
      </c>
      <c r="C26" s="11"/>
      <c r="D26" s="11"/>
      <c r="E26" s="10"/>
      <c r="F26" s="10"/>
      <c r="G26" s="10"/>
      <c r="H26" s="10" t="s">
        <v>30</v>
      </c>
      <c r="I26" s="12" t="s">
        <v>68</v>
      </c>
    </row>
    <row r="27" spans="1:9" ht="18.95" customHeight="1">
      <c r="A27" s="9" t="s">
        <v>69</v>
      </c>
      <c r="B27" s="10" t="s">
        <v>70</v>
      </c>
      <c r="C27" s="11"/>
      <c r="D27" s="11"/>
      <c r="E27" s="10"/>
      <c r="F27" s="10"/>
      <c r="G27" s="10"/>
      <c r="H27" s="10" t="s">
        <v>71</v>
      </c>
      <c r="I27" s="12" t="s">
        <v>72</v>
      </c>
    </row>
    <row r="28" spans="1:9" ht="18.95" customHeight="1">
      <c r="A28" s="25" t="s">
        <v>73</v>
      </c>
      <c r="B28" s="26" t="s">
        <v>74</v>
      </c>
      <c r="C28" s="11">
        <f>SUMIF('OS&amp;E_FF&amp;E'!$A:$A,Overview!$A28,'OS&amp;E_FF&amp;E'!$H:$H)</f>
        <v>0</v>
      </c>
      <c r="D28" s="11"/>
      <c r="E28" s="26"/>
      <c r="F28" s="26"/>
      <c r="G28" s="26"/>
      <c r="H28" s="10" t="s">
        <v>36</v>
      </c>
      <c r="I28" s="12" t="s">
        <v>75</v>
      </c>
    </row>
    <row r="29" spans="1:9" ht="18.95" customHeight="1">
      <c r="A29" s="27" t="s">
        <v>76</v>
      </c>
      <c r="B29" s="10" t="s">
        <v>77</v>
      </c>
      <c r="C29" s="11"/>
      <c r="D29" s="11"/>
      <c r="E29" s="13"/>
      <c r="F29" s="13"/>
      <c r="G29" s="13"/>
      <c r="H29" s="10" t="s">
        <v>30</v>
      </c>
      <c r="I29" s="12" t="s">
        <v>78</v>
      </c>
    </row>
    <row r="30" spans="1:9" ht="18.95" customHeight="1">
      <c r="A30" s="27" t="s">
        <v>79</v>
      </c>
      <c r="B30" s="10" t="s">
        <v>80</v>
      </c>
      <c r="C30" s="80">
        <f>SUMIF('OS&amp;E_FF&amp;E'!$A:$A,Overview!$A30,'OS&amp;E_FF&amp;E'!$H:$H)</f>
        <v>10645</v>
      </c>
      <c r="D30" s="11"/>
      <c r="E30" s="13"/>
      <c r="F30" s="13"/>
      <c r="G30" s="13"/>
      <c r="H30" s="10" t="s">
        <v>30</v>
      </c>
      <c r="I30" s="12" t="s">
        <v>81</v>
      </c>
    </row>
    <row r="31" spans="1:9" ht="18.95" customHeight="1">
      <c r="A31" s="27" t="s">
        <v>82</v>
      </c>
      <c r="B31" s="10" t="s">
        <v>83</v>
      </c>
      <c r="C31" s="80">
        <f>SUMIF('OS&amp;E_FF&amp;E'!$A:$A,Overview!$A31,'OS&amp;E_FF&amp;E'!$H:$H)</f>
        <v>15000</v>
      </c>
      <c r="D31" s="11"/>
      <c r="E31" s="13"/>
      <c r="F31" s="13"/>
      <c r="G31" s="13"/>
      <c r="H31" s="10" t="s">
        <v>45</v>
      </c>
      <c r="I31" s="12" t="s">
        <v>84</v>
      </c>
    </row>
    <row r="32" spans="1:9" ht="18.95" customHeight="1">
      <c r="A32" s="27" t="s">
        <v>85</v>
      </c>
      <c r="B32" s="10" t="s">
        <v>86</v>
      </c>
      <c r="C32" s="80">
        <f>SUMIF('OS&amp;E_FF&amp;E'!$A:$A,Overview!$A32,'OS&amp;E_FF&amp;E'!$H:$H)</f>
        <v>16250.5</v>
      </c>
      <c r="D32" s="11"/>
      <c r="E32" s="13"/>
      <c r="F32" s="13"/>
      <c r="G32" s="13"/>
      <c r="H32" s="10" t="s">
        <v>45</v>
      </c>
      <c r="I32" s="12" t="s">
        <v>87</v>
      </c>
    </row>
    <row r="33" spans="1:9" ht="18.95" customHeight="1">
      <c r="A33" s="27" t="s">
        <v>88</v>
      </c>
      <c r="B33" s="10" t="s">
        <v>89</v>
      </c>
      <c r="C33" s="80">
        <f>SUMIF('OS&amp;E_FF&amp;E'!$A:$A,Overview!$A33,'OS&amp;E_FF&amp;E'!$H:$H)</f>
        <v>2562</v>
      </c>
      <c r="D33" s="11"/>
      <c r="E33" s="13"/>
      <c r="F33" s="13"/>
      <c r="G33" s="13"/>
      <c r="H33" s="10" t="s">
        <v>45</v>
      </c>
      <c r="I33" s="27"/>
    </row>
    <row r="34" spans="1:9" ht="18.95" customHeight="1">
      <c r="A34" s="32"/>
      <c r="B34" s="23"/>
      <c r="C34" s="23"/>
      <c r="D34" s="33"/>
      <c r="H34" s="23"/>
    </row>
    <row r="35" spans="1:9" ht="18.95" customHeight="1">
      <c r="A35" s="32"/>
      <c r="B35" s="82" t="s">
        <v>90</v>
      </c>
      <c r="C35" s="83">
        <f>SUM(C8:C33)</f>
        <v>149896.91</v>
      </c>
      <c r="D35" s="33">
        <f>SUM(D8:D33)</f>
        <v>0</v>
      </c>
    </row>
    <row r="36" spans="1:9" ht="18.95" customHeight="1">
      <c r="A36" s="32"/>
      <c r="B36" s="23"/>
      <c r="C36" s="33"/>
      <c r="D36" s="33"/>
    </row>
    <row r="37" spans="1:9" ht="18.95" customHeight="1">
      <c r="B37" s="23" t="s">
        <v>91</v>
      </c>
      <c r="C37" s="24">
        <v>165000</v>
      </c>
      <c r="D37" s="24"/>
    </row>
    <row r="38" spans="1:9" ht="18.95" customHeight="1">
      <c r="B38" s="23" t="s">
        <v>92</v>
      </c>
      <c r="C38" s="24">
        <f>C35</f>
        <v>149896.91</v>
      </c>
      <c r="D38" s="24"/>
    </row>
    <row r="39" spans="1:9" ht="18.95" customHeight="1">
      <c r="B39" s="23" t="s">
        <v>93</v>
      </c>
      <c r="C39" s="24">
        <f>-(C38-C37)</f>
        <v>15103.089999999997</v>
      </c>
      <c r="D39" s="24"/>
    </row>
    <row r="40" spans="1:9" ht="18.95" customHeight="1">
      <c r="B40" s="23"/>
    </row>
    <row r="41" spans="1:9" ht="18.95" customHeight="1">
      <c r="B41" s="23"/>
      <c r="C41" s="24"/>
      <c r="D41" s="24"/>
    </row>
    <row r="42" spans="1:9" ht="18.95" customHeight="1">
      <c r="B42" s="23"/>
      <c r="C42" s="24"/>
      <c r="D42" s="24"/>
    </row>
    <row r="43" spans="1:9" ht="18.95" customHeight="1">
      <c r="B43" s="23"/>
      <c r="C43" s="24"/>
      <c r="D43" s="24"/>
    </row>
    <row r="44" spans="1:9" ht="18.95" customHeight="1">
      <c r="B44" s="23"/>
    </row>
    <row r="45" spans="1:9" ht="18.95" customHeight="1">
      <c r="B4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E53F-774E-5C4B-B8F9-1E88F47EA78D}">
  <dimension ref="A1:R513"/>
  <sheetViews>
    <sheetView tabSelected="1" topLeftCell="A484" workbookViewId="0">
      <selection activeCell="C512" sqref="C512"/>
    </sheetView>
  </sheetViews>
  <sheetFormatPr defaultColWidth="10.875" defaultRowHeight="15.75"/>
  <cols>
    <col min="1" max="2" width="10.875" style="40"/>
    <col min="3" max="3" width="72.875" style="40" customWidth="1"/>
    <col min="4" max="4" width="31.375" style="40" bestFit="1" customWidth="1"/>
    <col min="5" max="5" width="10.875" style="40"/>
    <col min="6" max="6" width="20.625" style="40" bestFit="1" customWidth="1"/>
    <col min="7" max="7" width="19.125" style="48" bestFit="1" customWidth="1"/>
    <col min="8" max="8" width="15.125" style="48" bestFit="1" customWidth="1"/>
    <col min="9" max="9" width="36" style="40" bestFit="1" customWidth="1"/>
    <col min="10" max="10" width="12.875" style="40" bestFit="1" customWidth="1"/>
    <col min="11" max="11" width="14.875" style="40" customWidth="1"/>
    <col min="12" max="16384" width="10.875" style="40"/>
  </cols>
  <sheetData>
    <row r="1" spans="1:12">
      <c r="A1" s="43" t="s">
        <v>6</v>
      </c>
      <c r="B1" s="43"/>
      <c r="C1" s="43" t="s">
        <v>94</v>
      </c>
      <c r="D1" s="43" t="s">
        <v>95</v>
      </c>
      <c r="E1" s="43" t="s">
        <v>96</v>
      </c>
      <c r="F1" s="43" t="s">
        <v>97</v>
      </c>
      <c r="G1" s="44" t="s">
        <v>98</v>
      </c>
      <c r="H1" s="44" t="s">
        <v>99</v>
      </c>
      <c r="I1" s="43" t="s">
        <v>100</v>
      </c>
      <c r="J1" s="43" t="s">
        <v>101</v>
      </c>
      <c r="K1" s="45" t="s">
        <v>102</v>
      </c>
    </row>
    <row r="2" spans="1:12">
      <c r="A2" s="39" t="s">
        <v>15</v>
      </c>
      <c r="B2" s="84">
        <f>IF(INDEX(Overview!$C$8:$C$33,MATCH('OS&amp;E_FF&amp;E'!A2,Overview!$A$8:$A$33,0))=0,0,1)</f>
        <v>0</v>
      </c>
      <c r="C2" s="13" t="s">
        <v>103</v>
      </c>
      <c r="D2" s="13" t="s">
        <v>104</v>
      </c>
      <c r="E2" s="13">
        <v>0</v>
      </c>
      <c r="F2" s="65" t="s">
        <v>105</v>
      </c>
      <c r="G2" s="50">
        <v>2000</v>
      </c>
      <c r="H2" s="41">
        <f t="shared" ref="H2:H65" si="0">E2*G2</f>
        <v>0</v>
      </c>
      <c r="I2" s="39"/>
      <c r="J2" s="39"/>
      <c r="K2" s="39"/>
      <c r="L2" s="40" t="str">
        <f>INDEX(Overview!$B$8:$B$33,MATCH('OS&amp;E_FF&amp;E'!$A2,Overview!$A$8:$A$33,0))</f>
        <v>F&amp;B: Fixed Kitchen &amp; Bar Equipment</v>
      </c>
    </row>
    <row r="3" spans="1:12">
      <c r="A3" s="39" t="s">
        <v>15</v>
      </c>
      <c r="B3" s="84">
        <f>IF(INDEX(Overview!$C$8:$C$33,MATCH('OS&amp;E_FF&amp;E'!A3,Overview!$A$8:$A$33,0))=0,0,1)</f>
        <v>0</v>
      </c>
      <c r="C3" s="13" t="s">
        <v>106</v>
      </c>
      <c r="D3" s="13" t="s">
        <v>104</v>
      </c>
      <c r="E3" s="13">
        <v>0</v>
      </c>
      <c r="F3" s="65" t="s">
        <v>105</v>
      </c>
      <c r="G3" s="50">
        <v>350</v>
      </c>
      <c r="H3" s="41">
        <f t="shared" si="0"/>
        <v>0</v>
      </c>
      <c r="I3" s="39"/>
      <c r="J3" s="39"/>
      <c r="K3" s="39"/>
      <c r="L3" s="40" t="str">
        <f>INDEX(Overview!$B$8:$B$33,MATCH('OS&amp;E_FF&amp;E'!$A3,Overview!$A$8:$A$33,0))</f>
        <v>F&amp;B: Fixed Kitchen &amp; Bar Equipment</v>
      </c>
    </row>
    <row r="4" spans="1:12">
      <c r="A4" s="39" t="s">
        <v>15</v>
      </c>
      <c r="B4" s="84">
        <f>IF(INDEX(Overview!$C$8:$C$33,MATCH('OS&amp;E_FF&amp;E'!A4,Overview!$A$8:$A$33,0))=0,0,1)</f>
        <v>0</v>
      </c>
      <c r="C4" s="13" t="s">
        <v>107</v>
      </c>
      <c r="D4" s="13" t="s">
        <v>104</v>
      </c>
      <c r="E4" s="13">
        <v>0</v>
      </c>
      <c r="F4" s="65" t="s">
        <v>105</v>
      </c>
      <c r="G4" s="50">
        <v>3950</v>
      </c>
      <c r="H4" s="41">
        <f t="shared" si="0"/>
        <v>0</v>
      </c>
      <c r="I4" s="39"/>
      <c r="J4" s="39"/>
      <c r="K4" s="39"/>
      <c r="L4" s="40" t="str">
        <f>INDEX(Overview!$B$8:$B$33,MATCH('OS&amp;E_FF&amp;E'!$A4,Overview!$A$8:$A$33,0))</f>
        <v>F&amp;B: Fixed Kitchen &amp; Bar Equipment</v>
      </c>
    </row>
    <row r="5" spans="1:12">
      <c r="A5" s="39" t="s">
        <v>15</v>
      </c>
      <c r="B5" s="84">
        <f>IF(INDEX(Overview!$C$8:$C$33,MATCH('OS&amp;E_FF&amp;E'!A5,Overview!$A$8:$A$33,0))=0,0,1)</f>
        <v>0</v>
      </c>
      <c r="C5" s="13" t="s">
        <v>108</v>
      </c>
      <c r="D5" s="13" t="s">
        <v>109</v>
      </c>
      <c r="E5" s="13">
        <v>0</v>
      </c>
      <c r="F5" s="65" t="s">
        <v>105</v>
      </c>
      <c r="G5" s="50">
        <v>9716</v>
      </c>
      <c r="H5" s="41">
        <f t="shared" si="0"/>
        <v>0</v>
      </c>
      <c r="I5" s="39"/>
      <c r="J5" s="39"/>
      <c r="K5" s="39"/>
      <c r="L5" s="40" t="str">
        <f>INDEX(Overview!$B$8:$B$33,MATCH('OS&amp;E_FF&amp;E'!$A5,Overview!$A$8:$A$33,0))</f>
        <v>F&amp;B: Fixed Kitchen &amp; Bar Equipment</v>
      </c>
    </row>
    <row r="6" spans="1:12">
      <c r="A6" s="39" t="s">
        <v>15</v>
      </c>
      <c r="B6" s="84">
        <f>IF(INDEX(Overview!$C$8:$C$33,MATCH('OS&amp;E_FF&amp;E'!A6,Overview!$A$8:$A$33,0))=0,0,1)</f>
        <v>0</v>
      </c>
      <c r="C6" s="13" t="s">
        <v>110</v>
      </c>
      <c r="D6" s="13" t="s">
        <v>109</v>
      </c>
      <c r="E6" s="13">
        <v>0</v>
      </c>
      <c r="F6" s="65" t="s">
        <v>105</v>
      </c>
      <c r="G6" s="50">
        <v>175</v>
      </c>
      <c r="H6" s="41">
        <f t="shared" si="0"/>
        <v>0</v>
      </c>
      <c r="I6" s="39"/>
      <c r="J6" s="39"/>
      <c r="K6" s="39"/>
      <c r="L6" s="40" t="str">
        <f>INDEX(Overview!$B$8:$B$33,MATCH('OS&amp;E_FF&amp;E'!$A6,Overview!$A$8:$A$33,0))</f>
        <v>F&amp;B: Fixed Kitchen &amp; Bar Equipment</v>
      </c>
    </row>
    <row r="7" spans="1:12">
      <c r="A7" s="39" t="s">
        <v>15</v>
      </c>
      <c r="B7" s="84">
        <f>IF(INDEX(Overview!$C$8:$C$33,MATCH('OS&amp;E_FF&amp;E'!A7,Overview!$A$8:$A$33,0))=0,0,1)</f>
        <v>0</v>
      </c>
      <c r="C7" s="13" t="s">
        <v>111</v>
      </c>
      <c r="D7" s="13" t="s">
        <v>109</v>
      </c>
      <c r="E7" s="13">
        <v>0</v>
      </c>
      <c r="F7" s="65" t="s">
        <v>105</v>
      </c>
      <c r="G7" s="50">
        <v>130</v>
      </c>
      <c r="H7" s="41">
        <f t="shared" si="0"/>
        <v>0</v>
      </c>
      <c r="I7" s="39"/>
      <c r="J7" s="39"/>
      <c r="K7" s="39"/>
      <c r="L7" s="40" t="str">
        <f>INDEX(Overview!$B$8:$B$33,MATCH('OS&amp;E_FF&amp;E'!$A7,Overview!$A$8:$A$33,0))</f>
        <v>F&amp;B: Fixed Kitchen &amp; Bar Equipment</v>
      </c>
    </row>
    <row r="8" spans="1:12">
      <c r="A8" s="39" t="s">
        <v>15</v>
      </c>
      <c r="B8" s="84">
        <f>IF(INDEX(Overview!$C$8:$C$33,MATCH('OS&amp;E_FF&amp;E'!A8,Overview!$A$8:$A$33,0))=0,0,1)</f>
        <v>0</v>
      </c>
      <c r="C8" s="13" t="s">
        <v>112</v>
      </c>
      <c r="D8" s="13" t="s">
        <v>109</v>
      </c>
      <c r="E8" s="13">
        <v>0</v>
      </c>
      <c r="F8" s="65" t="s">
        <v>105</v>
      </c>
      <c r="G8" s="50">
        <v>3360</v>
      </c>
      <c r="H8" s="41">
        <f t="shared" si="0"/>
        <v>0</v>
      </c>
      <c r="I8" s="39"/>
      <c r="J8" s="39"/>
      <c r="K8" s="39"/>
      <c r="L8" s="40" t="str">
        <f>INDEX(Overview!$B$8:$B$33,MATCH('OS&amp;E_FF&amp;E'!$A8,Overview!$A$8:$A$33,0))</f>
        <v>F&amp;B: Fixed Kitchen &amp; Bar Equipment</v>
      </c>
    </row>
    <row r="9" spans="1:12">
      <c r="A9" s="39" t="s">
        <v>15</v>
      </c>
      <c r="B9" s="84">
        <f>IF(INDEX(Overview!$C$8:$C$33,MATCH('OS&amp;E_FF&amp;E'!A9,Overview!$A$8:$A$33,0))=0,0,1)</f>
        <v>0</v>
      </c>
      <c r="C9" s="13" t="s">
        <v>113</v>
      </c>
      <c r="D9" s="13" t="s">
        <v>109</v>
      </c>
      <c r="E9" s="13">
        <v>0</v>
      </c>
      <c r="F9" s="65" t="s">
        <v>105</v>
      </c>
      <c r="G9" s="50">
        <v>5695</v>
      </c>
      <c r="H9" s="41">
        <f t="shared" si="0"/>
        <v>0</v>
      </c>
      <c r="I9" s="39"/>
      <c r="J9" s="39"/>
      <c r="K9" s="39"/>
      <c r="L9" s="40" t="str">
        <f>INDEX(Overview!$B$8:$B$33,MATCH('OS&amp;E_FF&amp;E'!$A9,Overview!$A$8:$A$33,0))</f>
        <v>F&amp;B: Fixed Kitchen &amp; Bar Equipment</v>
      </c>
    </row>
    <row r="10" spans="1:12">
      <c r="A10" s="39" t="s">
        <v>15</v>
      </c>
      <c r="B10" s="84">
        <f>IF(INDEX(Overview!$C$8:$C$33,MATCH('OS&amp;E_FF&amp;E'!A10,Overview!$A$8:$A$33,0))=0,0,1)</f>
        <v>0</v>
      </c>
      <c r="C10" s="13" t="s">
        <v>114</v>
      </c>
      <c r="D10" s="13" t="s">
        <v>109</v>
      </c>
      <c r="E10" s="13">
        <v>0</v>
      </c>
      <c r="F10" s="65" t="s">
        <v>105</v>
      </c>
      <c r="G10" s="50">
        <v>28500</v>
      </c>
      <c r="H10" s="41">
        <f t="shared" si="0"/>
        <v>0</v>
      </c>
      <c r="I10" s="39"/>
      <c r="J10" s="39"/>
      <c r="K10" s="39"/>
      <c r="L10" s="40" t="str">
        <f>INDEX(Overview!$B$8:$B$33,MATCH('OS&amp;E_FF&amp;E'!$A10,Overview!$A$8:$A$33,0))</f>
        <v>F&amp;B: Fixed Kitchen &amp; Bar Equipment</v>
      </c>
    </row>
    <row r="11" spans="1:12">
      <c r="A11" s="39" t="s">
        <v>15</v>
      </c>
      <c r="B11" s="84">
        <f>IF(INDEX(Overview!$C$8:$C$33,MATCH('OS&amp;E_FF&amp;E'!A11,Overview!$A$8:$A$33,0))=0,0,1)</f>
        <v>0</v>
      </c>
      <c r="C11" s="13" t="s">
        <v>115</v>
      </c>
      <c r="D11" s="13" t="s">
        <v>109</v>
      </c>
      <c r="E11" s="13">
        <v>0</v>
      </c>
      <c r="F11" s="65" t="s">
        <v>105</v>
      </c>
      <c r="G11" s="50">
        <v>10570</v>
      </c>
      <c r="H11" s="41">
        <f t="shared" si="0"/>
        <v>0</v>
      </c>
      <c r="I11" s="39"/>
      <c r="J11" s="39"/>
      <c r="K11" s="39"/>
      <c r="L11" s="40" t="str">
        <f>INDEX(Overview!$B$8:$B$33,MATCH('OS&amp;E_FF&amp;E'!$A11,Overview!$A$8:$A$33,0))</f>
        <v>F&amp;B: Fixed Kitchen &amp; Bar Equipment</v>
      </c>
    </row>
    <row r="12" spans="1:12">
      <c r="A12" s="39" t="s">
        <v>15</v>
      </c>
      <c r="B12" s="84">
        <f>IF(INDEX(Overview!$C$8:$C$33,MATCH('OS&amp;E_FF&amp;E'!A12,Overview!$A$8:$A$33,0))=0,0,1)</f>
        <v>0</v>
      </c>
      <c r="C12" s="13" t="s">
        <v>116</v>
      </c>
      <c r="D12" s="13" t="s">
        <v>109</v>
      </c>
      <c r="E12" s="13">
        <v>0</v>
      </c>
      <c r="F12" s="70" t="s">
        <v>117</v>
      </c>
      <c r="G12" s="50">
        <v>33766</v>
      </c>
      <c r="H12" s="41">
        <f t="shared" si="0"/>
        <v>0</v>
      </c>
      <c r="I12" s="39"/>
      <c r="J12" s="39"/>
      <c r="K12" s="39"/>
      <c r="L12" s="40" t="str">
        <f>INDEX(Overview!$B$8:$B$33,MATCH('OS&amp;E_FF&amp;E'!$A12,Overview!$A$8:$A$33,0))</f>
        <v>F&amp;B: Fixed Kitchen &amp; Bar Equipment</v>
      </c>
    </row>
    <row r="13" spans="1:12">
      <c r="A13" s="39" t="s">
        <v>15</v>
      </c>
      <c r="B13" s="84">
        <f>IF(INDEX(Overview!$C$8:$C$33,MATCH('OS&amp;E_FF&amp;E'!A13,Overview!$A$8:$A$33,0))=0,0,1)</f>
        <v>0</v>
      </c>
      <c r="C13" s="13" t="s">
        <v>118</v>
      </c>
      <c r="D13" s="13" t="s">
        <v>109</v>
      </c>
      <c r="E13" s="13">
        <v>0</v>
      </c>
      <c r="F13" s="65" t="s">
        <v>105</v>
      </c>
      <c r="G13" s="50">
        <v>1106</v>
      </c>
      <c r="H13" s="41">
        <f t="shared" si="0"/>
        <v>0</v>
      </c>
      <c r="I13" s="39"/>
      <c r="J13" s="39"/>
      <c r="K13" s="39"/>
      <c r="L13" s="40" t="str">
        <f>INDEX(Overview!$B$8:$B$33,MATCH('OS&amp;E_FF&amp;E'!$A13,Overview!$A$8:$A$33,0))</f>
        <v>F&amp;B: Fixed Kitchen &amp; Bar Equipment</v>
      </c>
    </row>
    <row r="14" spans="1:12">
      <c r="A14" s="39" t="s">
        <v>15</v>
      </c>
      <c r="B14" s="84">
        <f>IF(INDEX(Overview!$C$8:$C$33,MATCH('OS&amp;E_FF&amp;E'!A14,Overview!$A$8:$A$33,0))=0,0,1)</f>
        <v>0</v>
      </c>
      <c r="C14" s="13" t="s">
        <v>119</v>
      </c>
      <c r="D14" s="13" t="s">
        <v>109</v>
      </c>
      <c r="E14" s="13">
        <v>0</v>
      </c>
      <c r="F14" s="65" t="s">
        <v>105</v>
      </c>
      <c r="G14" s="50">
        <v>735</v>
      </c>
      <c r="H14" s="41">
        <f t="shared" si="0"/>
        <v>0</v>
      </c>
      <c r="I14" s="39"/>
      <c r="J14" s="39"/>
      <c r="K14" s="39"/>
      <c r="L14" s="40" t="str">
        <f>INDEX(Overview!$B$8:$B$33,MATCH('OS&amp;E_FF&amp;E'!$A14,Overview!$A$8:$A$33,0))</f>
        <v>F&amp;B: Fixed Kitchen &amp; Bar Equipment</v>
      </c>
    </row>
    <row r="15" spans="1:12">
      <c r="A15" s="39" t="s">
        <v>15</v>
      </c>
      <c r="B15" s="84">
        <f>IF(INDEX(Overview!$C$8:$C$33,MATCH('OS&amp;E_FF&amp;E'!A15,Overview!$A$8:$A$33,0))=0,0,1)</f>
        <v>0</v>
      </c>
      <c r="C15" s="13" t="s">
        <v>120</v>
      </c>
      <c r="D15" s="13" t="s">
        <v>109</v>
      </c>
      <c r="E15" s="13">
        <v>0</v>
      </c>
      <c r="F15" s="65" t="s">
        <v>105</v>
      </c>
      <c r="G15" s="50">
        <v>7962</v>
      </c>
      <c r="H15" s="41">
        <f t="shared" si="0"/>
        <v>0</v>
      </c>
      <c r="I15" s="39"/>
      <c r="J15" s="39"/>
      <c r="K15" s="39"/>
      <c r="L15" s="40" t="str">
        <f>INDEX(Overview!$B$8:$B$33,MATCH('OS&amp;E_FF&amp;E'!$A15,Overview!$A$8:$A$33,0))</f>
        <v>F&amp;B: Fixed Kitchen &amp; Bar Equipment</v>
      </c>
    </row>
    <row r="16" spans="1:12">
      <c r="A16" s="39" t="s">
        <v>15</v>
      </c>
      <c r="B16" s="84">
        <f>IF(INDEX(Overview!$C$8:$C$33,MATCH('OS&amp;E_FF&amp;E'!A16,Overview!$A$8:$A$33,0))=0,0,1)</f>
        <v>0</v>
      </c>
      <c r="C16" s="13" t="s">
        <v>121</v>
      </c>
      <c r="D16" s="13" t="s">
        <v>109</v>
      </c>
      <c r="E16" s="13">
        <v>0</v>
      </c>
      <c r="F16" s="65" t="s">
        <v>105</v>
      </c>
      <c r="G16" s="50">
        <v>1944</v>
      </c>
      <c r="H16" s="41">
        <f t="shared" si="0"/>
        <v>0</v>
      </c>
      <c r="I16" s="39"/>
      <c r="J16" s="39"/>
      <c r="K16" s="39"/>
      <c r="L16" s="40" t="str">
        <f>INDEX(Overview!$B$8:$B$33,MATCH('OS&amp;E_FF&amp;E'!$A16,Overview!$A$8:$A$33,0))</f>
        <v>F&amp;B: Fixed Kitchen &amp; Bar Equipment</v>
      </c>
    </row>
    <row r="17" spans="1:12">
      <c r="A17" s="39" t="s">
        <v>15</v>
      </c>
      <c r="B17" s="84">
        <f>IF(INDEX(Overview!$C$8:$C$33,MATCH('OS&amp;E_FF&amp;E'!A17,Overview!$A$8:$A$33,0))=0,0,1)</f>
        <v>0</v>
      </c>
      <c r="C17" s="13" t="s">
        <v>118</v>
      </c>
      <c r="D17" s="13" t="s">
        <v>109</v>
      </c>
      <c r="E17" s="13">
        <v>0</v>
      </c>
      <c r="F17" s="65" t="s">
        <v>105</v>
      </c>
      <c r="G17" s="50">
        <v>1218</v>
      </c>
      <c r="H17" s="41">
        <f t="shared" si="0"/>
        <v>0</v>
      </c>
      <c r="I17" s="39"/>
      <c r="J17" s="39"/>
      <c r="K17" s="39"/>
      <c r="L17" s="40" t="str">
        <f>INDEX(Overview!$B$8:$B$33,MATCH('OS&amp;E_FF&amp;E'!$A17,Overview!$A$8:$A$33,0))</f>
        <v>F&amp;B: Fixed Kitchen &amp; Bar Equipment</v>
      </c>
    </row>
    <row r="18" spans="1:12">
      <c r="A18" s="39" t="s">
        <v>15</v>
      </c>
      <c r="B18" s="84">
        <f>IF(INDEX(Overview!$C$8:$C$33,MATCH('OS&amp;E_FF&amp;E'!A18,Overview!$A$8:$A$33,0))=0,0,1)</f>
        <v>0</v>
      </c>
      <c r="C18" s="13" t="s">
        <v>122</v>
      </c>
      <c r="D18" s="13" t="s">
        <v>109</v>
      </c>
      <c r="E18" s="13">
        <v>0</v>
      </c>
      <c r="F18" s="65" t="s">
        <v>105</v>
      </c>
      <c r="G18" s="50">
        <v>3315</v>
      </c>
      <c r="H18" s="41">
        <f t="shared" si="0"/>
        <v>0</v>
      </c>
      <c r="I18" s="39"/>
      <c r="J18" s="39"/>
      <c r="K18" s="39"/>
      <c r="L18" s="40" t="str">
        <f>INDEX(Overview!$B$8:$B$33,MATCH('OS&amp;E_FF&amp;E'!$A18,Overview!$A$8:$A$33,0))</f>
        <v>F&amp;B: Fixed Kitchen &amp; Bar Equipment</v>
      </c>
    </row>
    <row r="19" spans="1:12" ht="17.100000000000001" customHeight="1">
      <c r="A19" s="39" t="s">
        <v>15</v>
      </c>
      <c r="B19" s="84">
        <f>IF(INDEX(Overview!$C$8:$C$33,MATCH('OS&amp;E_FF&amp;E'!A19,Overview!$A$8:$A$33,0))=0,0,1)</f>
        <v>0</v>
      </c>
      <c r="C19" s="13" t="s">
        <v>123</v>
      </c>
      <c r="D19" s="13" t="s">
        <v>109</v>
      </c>
      <c r="E19" s="13">
        <v>0</v>
      </c>
      <c r="F19" s="65" t="s">
        <v>105</v>
      </c>
      <c r="G19" s="50">
        <v>2280</v>
      </c>
      <c r="H19" s="41">
        <f t="shared" si="0"/>
        <v>0</v>
      </c>
      <c r="I19" s="39"/>
      <c r="J19" s="39"/>
      <c r="K19" s="39"/>
      <c r="L19" s="40" t="str">
        <f>INDEX(Overview!$B$8:$B$33,MATCH('OS&amp;E_FF&amp;E'!$A19,Overview!$A$8:$A$33,0))</f>
        <v>F&amp;B: Fixed Kitchen &amp; Bar Equipment</v>
      </c>
    </row>
    <row r="20" spans="1:12">
      <c r="A20" s="39" t="s">
        <v>15</v>
      </c>
      <c r="B20" s="84">
        <f>IF(INDEX(Overview!$C$8:$C$33,MATCH('OS&amp;E_FF&amp;E'!A20,Overview!$A$8:$A$33,0))=0,0,1)</f>
        <v>0</v>
      </c>
      <c r="C20" s="13" t="s">
        <v>124</v>
      </c>
      <c r="D20" s="13" t="s">
        <v>109</v>
      </c>
      <c r="E20" s="13">
        <v>0</v>
      </c>
      <c r="F20" s="65" t="s">
        <v>105</v>
      </c>
      <c r="G20" s="50">
        <v>2425</v>
      </c>
      <c r="H20" s="41">
        <f t="shared" si="0"/>
        <v>0</v>
      </c>
      <c r="I20" s="39"/>
      <c r="J20" s="39"/>
      <c r="K20" s="39"/>
      <c r="L20" s="40" t="str">
        <f>INDEX(Overview!$B$8:$B$33,MATCH('OS&amp;E_FF&amp;E'!$A20,Overview!$A$8:$A$33,0))</f>
        <v>F&amp;B: Fixed Kitchen &amp; Bar Equipment</v>
      </c>
    </row>
    <row r="21" spans="1:12">
      <c r="A21" s="39" t="s">
        <v>15</v>
      </c>
      <c r="B21" s="84">
        <f>IF(INDEX(Overview!$C$8:$C$33,MATCH('OS&amp;E_FF&amp;E'!A21,Overview!$A$8:$A$33,0))=0,0,1)</f>
        <v>0</v>
      </c>
      <c r="C21" s="13" t="s">
        <v>125</v>
      </c>
      <c r="D21" s="13" t="s">
        <v>126</v>
      </c>
      <c r="E21" s="13">
        <v>0</v>
      </c>
      <c r="F21" s="65" t="s">
        <v>105</v>
      </c>
      <c r="G21" s="50">
        <v>5415</v>
      </c>
      <c r="H21" s="41">
        <f t="shared" si="0"/>
        <v>0</v>
      </c>
      <c r="I21" s="39"/>
      <c r="J21" s="39"/>
      <c r="K21" s="39"/>
      <c r="L21" s="40" t="str">
        <f>INDEX(Overview!$B$8:$B$33,MATCH('OS&amp;E_FF&amp;E'!$A21,Overview!$A$8:$A$33,0))</f>
        <v>F&amp;B: Fixed Kitchen &amp; Bar Equipment</v>
      </c>
    </row>
    <row r="22" spans="1:12">
      <c r="A22" s="39" t="s">
        <v>15</v>
      </c>
      <c r="B22" s="84">
        <f>IF(INDEX(Overview!$C$8:$C$33,MATCH('OS&amp;E_FF&amp;E'!A22,Overview!$A$8:$A$33,0))=0,0,1)</f>
        <v>0</v>
      </c>
      <c r="C22" s="13" t="s">
        <v>127</v>
      </c>
      <c r="D22" s="13" t="s">
        <v>126</v>
      </c>
      <c r="E22" s="13">
        <v>0</v>
      </c>
      <c r="F22" s="65" t="s">
        <v>105</v>
      </c>
      <c r="G22" s="50">
        <v>2425</v>
      </c>
      <c r="H22" s="41">
        <f t="shared" si="0"/>
        <v>0</v>
      </c>
      <c r="I22" s="39"/>
      <c r="J22" s="39"/>
      <c r="K22" s="39"/>
      <c r="L22" s="40" t="str">
        <f>INDEX(Overview!$B$8:$B$33,MATCH('OS&amp;E_FF&amp;E'!$A22,Overview!$A$8:$A$33,0))</f>
        <v>F&amp;B: Fixed Kitchen &amp; Bar Equipment</v>
      </c>
    </row>
    <row r="23" spans="1:12">
      <c r="A23" s="39" t="s">
        <v>15</v>
      </c>
      <c r="B23" s="84">
        <f>IF(INDEX(Overview!$C$8:$C$33,MATCH('OS&amp;E_FF&amp;E'!A23,Overview!$A$8:$A$33,0))=0,0,1)</f>
        <v>0</v>
      </c>
      <c r="C23" s="13" t="s">
        <v>128</v>
      </c>
      <c r="D23" s="13" t="s">
        <v>126</v>
      </c>
      <c r="E23" s="13">
        <v>0</v>
      </c>
      <c r="F23" s="65" t="s">
        <v>105</v>
      </c>
      <c r="G23" s="50">
        <v>2830</v>
      </c>
      <c r="H23" s="41">
        <f t="shared" si="0"/>
        <v>0</v>
      </c>
      <c r="I23" s="39"/>
      <c r="J23" s="39"/>
      <c r="K23" s="39"/>
      <c r="L23" s="40" t="str">
        <f>INDEX(Overview!$B$8:$B$33,MATCH('OS&amp;E_FF&amp;E'!$A23,Overview!$A$8:$A$33,0))</f>
        <v>F&amp;B: Fixed Kitchen &amp; Bar Equipment</v>
      </c>
    </row>
    <row r="24" spans="1:12">
      <c r="A24" s="39" t="s">
        <v>15</v>
      </c>
      <c r="B24" s="84">
        <f>IF(INDEX(Overview!$C$8:$C$33,MATCH('OS&amp;E_FF&amp;E'!A24,Overview!$A$8:$A$33,0))=0,0,1)</f>
        <v>0</v>
      </c>
      <c r="C24" s="13" t="s">
        <v>129</v>
      </c>
      <c r="D24" s="13" t="s">
        <v>126</v>
      </c>
      <c r="E24" s="13">
        <v>0</v>
      </c>
      <c r="F24" s="65" t="s">
        <v>105</v>
      </c>
      <c r="G24" s="50">
        <v>4655</v>
      </c>
      <c r="H24" s="41">
        <f t="shared" si="0"/>
        <v>0</v>
      </c>
      <c r="I24" s="39"/>
      <c r="J24" s="39"/>
      <c r="K24" s="39"/>
      <c r="L24" s="40" t="str">
        <f>INDEX(Overview!$B$8:$B$33,MATCH('OS&amp;E_FF&amp;E'!$A24,Overview!$A$8:$A$33,0))</f>
        <v>F&amp;B: Fixed Kitchen &amp; Bar Equipment</v>
      </c>
    </row>
    <row r="25" spans="1:12">
      <c r="A25" s="39" t="s">
        <v>15</v>
      </c>
      <c r="B25" s="84">
        <f>IF(INDEX(Overview!$C$8:$C$33,MATCH('OS&amp;E_FF&amp;E'!A25,Overview!$A$8:$A$33,0))=0,0,1)</f>
        <v>0</v>
      </c>
      <c r="C25" s="13" t="s">
        <v>130</v>
      </c>
      <c r="D25" s="13" t="s">
        <v>126</v>
      </c>
      <c r="E25" s="13">
        <v>0</v>
      </c>
      <c r="F25" s="65" t="s">
        <v>105</v>
      </c>
      <c r="G25" s="50">
        <v>208</v>
      </c>
      <c r="H25" s="41">
        <f t="shared" si="0"/>
        <v>0</v>
      </c>
      <c r="I25" s="39"/>
      <c r="J25" s="39"/>
      <c r="K25" s="39"/>
      <c r="L25" s="40" t="str">
        <f>INDEX(Overview!$B$8:$B$33,MATCH('OS&amp;E_FF&amp;E'!$A25,Overview!$A$8:$A$33,0))</f>
        <v>F&amp;B: Fixed Kitchen &amp; Bar Equipment</v>
      </c>
    </row>
    <row r="26" spans="1:12">
      <c r="A26" s="39" t="s">
        <v>15</v>
      </c>
      <c r="B26" s="84">
        <f>IF(INDEX(Overview!$C$8:$C$33,MATCH('OS&amp;E_FF&amp;E'!A26,Overview!$A$8:$A$33,0))=0,0,1)</f>
        <v>0</v>
      </c>
      <c r="C26" s="13" t="s">
        <v>131</v>
      </c>
      <c r="D26" s="13" t="s">
        <v>126</v>
      </c>
      <c r="E26" s="13">
        <v>0</v>
      </c>
      <c r="F26" s="65" t="s">
        <v>105</v>
      </c>
      <c r="G26" s="50">
        <v>4500</v>
      </c>
      <c r="H26" s="41">
        <f t="shared" si="0"/>
        <v>0</v>
      </c>
      <c r="I26" s="39"/>
      <c r="J26" s="39"/>
      <c r="K26" s="39"/>
      <c r="L26" s="40" t="str">
        <f>INDEX(Overview!$B$8:$B$33,MATCH('OS&amp;E_FF&amp;E'!$A26,Overview!$A$8:$A$33,0))</f>
        <v>F&amp;B: Fixed Kitchen &amp; Bar Equipment</v>
      </c>
    </row>
    <row r="27" spans="1:12">
      <c r="A27" s="39" t="s">
        <v>15</v>
      </c>
      <c r="B27" s="84">
        <f>IF(INDEX(Overview!$C$8:$C$33,MATCH('OS&amp;E_FF&amp;E'!A27,Overview!$A$8:$A$33,0))=0,0,1)</f>
        <v>0</v>
      </c>
      <c r="C27" s="13" t="s">
        <v>132</v>
      </c>
      <c r="D27" s="13" t="s">
        <v>126</v>
      </c>
      <c r="E27" s="13">
        <v>0</v>
      </c>
      <c r="F27" s="65" t="s">
        <v>105</v>
      </c>
      <c r="G27" s="50">
        <v>4650</v>
      </c>
      <c r="H27" s="41">
        <f t="shared" si="0"/>
        <v>0</v>
      </c>
      <c r="I27" s="39"/>
      <c r="J27" s="39"/>
      <c r="K27" s="39"/>
      <c r="L27" s="40" t="str">
        <f>INDEX(Overview!$B$8:$B$33,MATCH('OS&amp;E_FF&amp;E'!$A27,Overview!$A$8:$A$33,0))</f>
        <v>F&amp;B: Fixed Kitchen &amp; Bar Equipment</v>
      </c>
    </row>
    <row r="28" spans="1:12">
      <c r="A28" s="39" t="s">
        <v>15</v>
      </c>
      <c r="B28" s="84">
        <f>IF(INDEX(Overview!$C$8:$C$33,MATCH('OS&amp;E_FF&amp;E'!A28,Overview!$A$8:$A$33,0))=0,0,1)</f>
        <v>0</v>
      </c>
      <c r="C28" s="13" t="s">
        <v>133</v>
      </c>
      <c r="D28" s="13" t="s">
        <v>126</v>
      </c>
      <c r="E28" s="13">
        <v>0</v>
      </c>
      <c r="F28" s="39"/>
      <c r="G28" s="50">
        <v>1470</v>
      </c>
      <c r="H28" s="41">
        <f t="shared" si="0"/>
        <v>0</v>
      </c>
      <c r="I28" s="39"/>
      <c r="J28" s="39"/>
      <c r="K28" s="39"/>
      <c r="L28" s="40" t="str">
        <f>INDEX(Overview!$B$8:$B$33,MATCH('OS&amp;E_FF&amp;E'!$A28,Overview!$A$8:$A$33,0))</f>
        <v>F&amp;B: Fixed Kitchen &amp; Bar Equipment</v>
      </c>
    </row>
    <row r="29" spans="1:12">
      <c r="A29" s="39" t="s">
        <v>15</v>
      </c>
      <c r="B29" s="84">
        <f>IF(INDEX(Overview!$C$8:$C$33,MATCH('OS&amp;E_FF&amp;E'!A29,Overview!$A$8:$A$33,0))=0,0,1)</f>
        <v>0</v>
      </c>
      <c r="C29" s="13" t="s">
        <v>134</v>
      </c>
      <c r="D29" s="13" t="s">
        <v>126</v>
      </c>
      <c r="E29" s="13">
        <v>0</v>
      </c>
      <c r="F29" s="39"/>
      <c r="G29" s="52">
        <v>0</v>
      </c>
      <c r="H29" s="41">
        <f t="shared" si="0"/>
        <v>0</v>
      </c>
      <c r="I29" s="39"/>
      <c r="J29" s="39"/>
      <c r="K29" s="39"/>
      <c r="L29" s="40" t="str">
        <f>INDEX(Overview!$B$8:$B$33,MATCH('OS&amp;E_FF&amp;E'!$A29,Overview!$A$8:$A$33,0))</f>
        <v>F&amp;B: Fixed Kitchen &amp; Bar Equipment</v>
      </c>
    </row>
    <row r="30" spans="1:12">
      <c r="A30" s="39" t="s">
        <v>15</v>
      </c>
      <c r="B30" s="84">
        <f>IF(INDEX(Overview!$C$8:$C$33,MATCH('OS&amp;E_FF&amp;E'!A30,Overview!$A$8:$A$33,0))=0,0,1)</f>
        <v>0</v>
      </c>
      <c r="C30" s="13" t="s">
        <v>135</v>
      </c>
      <c r="D30" s="13" t="s">
        <v>136</v>
      </c>
      <c r="E30" s="13">
        <v>0</v>
      </c>
      <c r="F30" s="65" t="s">
        <v>105</v>
      </c>
      <c r="G30" s="51">
        <v>2972</v>
      </c>
      <c r="H30" s="41">
        <f t="shared" si="0"/>
        <v>0</v>
      </c>
      <c r="I30" s="39"/>
      <c r="J30" s="39"/>
      <c r="K30" s="39"/>
      <c r="L30" s="40" t="str">
        <f>INDEX(Overview!$B$8:$B$33,MATCH('OS&amp;E_FF&amp;E'!$A30,Overview!$A$8:$A$33,0))</f>
        <v>F&amp;B: Fixed Kitchen &amp; Bar Equipment</v>
      </c>
    </row>
    <row r="31" spans="1:12">
      <c r="A31" s="39" t="s">
        <v>15</v>
      </c>
      <c r="B31" s="84">
        <f>IF(INDEX(Overview!$C$8:$C$33,MATCH('OS&amp;E_FF&amp;E'!A31,Overview!$A$8:$A$33,0))=0,0,1)</f>
        <v>0</v>
      </c>
      <c r="C31" s="13" t="s">
        <v>137</v>
      </c>
      <c r="D31" s="13" t="s">
        <v>136</v>
      </c>
      <c r="E31" s="13">
        <v>0</v>
      </c>
      <c r="F31" s="65" t="s">
        <v>105</v>
      </c>
      <c r="G31" s="51">
        <v>315</v>
      </c>
      <c r="H31" s="41">
        <f t="shared" si="0"/>
        <v>0</v>
      </c>
      <c r="I31" s="39"/>
      <c r="J31" s="39"/>
      <c r="K31" s="39"/>
      <c r="L31" s="40" t="str">
        <f>INDEX(Overview!$B$8:$B$33,MATCH('OS&amp;E_FF&amp;E'!$A31,Overview!$A$8:$A$33,0))</f>
        <v>F&amp;B: Fixed Kitchen &amp; Bar Equipment</v>
      </c>
    </row>
    <row r="32" spans="1:12">
      <c r="A32" s="39" t="s">
        <v>15</v>
      </c>
      <c r="B32" s="84">
        <f>IF(INDEX(Overview!$C$8:$C$33,MATCH('OS&amp;E_FF&amp;E'!A32,Overview!$A$8:$A$33,0))=0,0,1)</f>
        <v>0</v>
      </c>
      <c r="C32" s="13" t="s">
        <v>111</v>
      </c>
      <c r="D32" s="13" t="s">
        <v>136</v>
      </c>
      <c r="E32" s="13">
        <v>0</v>
      </c>
      <c r="F32" s="65" t="s">
        <v>105</v>
      </c>
      <c r="G32" s="51">
        <v>130</v>
      </c>
      <c r="H32" s="41">
        <f t="shared" si="0"/>
        <v>0</v>
      </c>
      <c r="I32" s="39"/>
      <c r="J32" s="39"/>
      <c r="K32" s="39"/>
      <c r="L32" s="40" t="str">
        <f>INDEX(Overview!$B$8:$B$33,MATCH('OS&amp;E_FF&amp;E'!$A32,Overview!$A$8:$A$33,0))</f>
        <v>F&amp;B: Fixed Kitchen &amp; Bar Equipment</v>
      </c>
    </row>
    <row r="33" spans="1:12">
      <c r="A33" s="39" t="s">
        <v>15</v>
      </c>
      <c r="B33" s="84">
        <f>IF(INDEX(Overview!$C$8:$C$33,MATCH('OS&amp;E_FF&amp;E'!A33,Overview!$A$8:$A$33,0))=0,0,1)</f>
        <v>0</v>
      </c>
      <c r="C33" s="13" t="s">
        <v>138</v>
      </c>
      <c r="D33" s="13" t="s">
        <v>136</v>
      </c>
      <c r="E33" s="13">
        <v>0</v>
      </c>
      <c r="F33" s="65" t="s">
        <v>105</v>
      </c>
      <c r="G33" s="51">
        <v>996</v>
      </c>
      <c r="H33" s="41">
        <f t="shared" si="0"/>
        <v>0</v>
      </c>
      <c r="I33" s="39"/>
      <c r="J33" s="39"/>
      <c r="K33" s="39"/>
      <c r="L33" s="40" t="str">
        <f>INDEX(Overview!$B$8:$B$33,MATCH('OS&amp;E_FF&amp;E'!$A33,Overview!$A$8:$A$33,0))</f>
        <v>F&amp;B: Fixed Kitchen &amp; Bar Equipment</v>
      </c>
    </row>
    <row r="34" spans="1:12">
      <c r="A34" s="39" t="s">
        <v>15</v>
      </c>
      <c r="B34" s="84">
        <f>IF(INDEX(Overview!$C$8:$C$33,MATCH('OS&amp;E_FF&amp;E'!A34,Overview!$A$8:$A$33,0))=0,0,1)</f>
        <v>0</v>
      </c>
      <c r="C34" s="13" t="s">
        <v>139</v>
      </c>
      <c r="D34" s="13" t="s">
        <v>136</v>
      </c>
      <c r="E34" s="13">
        <v>0</v>
      </c>
      <c r="F34" s="65" t="s">
        <v>105</v>
      </c>
      <c r="G34" s="51">
        <v>5455</v>
      </c>
      <c r="H34" s="41">
        <f t="shared" si="0"/>
        <v>0</v>
      </c>
      <c r="I34" s="39"/>
      <c r="J34" s="39"/>
      <c r="K34" s="39"/>
      <c r="L34" s="40" t="str">
        <f>INDEX(Overview!$B$8:$B$33,MATCH('OS&amp;E_FF&amp;E'!$A34,Overview!$A$8:$A$33,0))</f>
        <v>F&amp;B: Fixed Kitchen &amp; Bar Equipment</v>
      </c>
    </row>
    <row r="35" spans="1:12">
      <c r="A35" s="39" t="s">
        <v>15</v>
      </c>
      <c r="B35" s="84">
        <f>IF(INDEX(Overview!$C$8:$C$33,MATCH('OS&amp;E_FF&amp;E'!A35,Overview!$A$8:$A$33,0))=0,0,1)</f>
        <v>0</v>
      </c>
      <c r="C35" s="13" t="s">
        <v>140</v>
      </c>
      <c r="D35" s="13" t="s">
        <v>136</v>
      </c>
      <c r="E35" s="13">
        <v>0</v>
      </c>
      <c r="F35" s="65" t="s">
        <v>105</v>
      </c>
      <c r="G35" s="51">
        <v>395</v>
      </c>
      <c r="H35" s="41">
        <f t="shared" si="0"/>
        <v>0</v>
      </c>
      <c r="I35" s="39"/>
      <c r="J35" s="39"/>
      <c r="K35" s="39"/>
      <c r="L35" s="40" t="str">
        <f>INDEX(Overview!$B$8:$B$33,MATCH('OS&amp;E_FF&amp;E'!$A35,Overview!$A$8:$A$33,0))</f>
        <v>F&amp;B: Fixed Kitchen &amp; Bar Equipment</v>
      </c>
    </row>
    <row r="36" spans="1:12">
      <c r="A36" s="39" t="s">
        <v>15</v>
      </c>
      <c r="B36" s="84">
        <f>IF(INDEX(Overview!$C$8:$C$33,MATCH('OS&amp;E_FF&amp;E'!A36,Overview!$A$8:$A$33,0))=0,0,1)</f>
        <v>0</v>
      </c>
      <c r="C36" s="13" t="s">
        <v>141</v>
      </c>
      <c r="D36" s="13" t="s">
        <v>136</v>
      </c>
      <c r="E36" s="13">
        <v>0</v>
      </c>
      <c r="F36" s="65" t="s">
        <v>105</v>
      </c>
      <c r="G36" s="51">
        <v>13300</v>
      </c>
      <c r="H36" s="41">
        <f t="shared" si="0"/>
        <v>0</v>
      </c>
      <c r="I36" s="39"/>
      <c r="J36" s="39"/>
      <c r="K36" s="39"/>
      <c r="L36" s="40" t="str">
        <f>INDEX(Overview!$B$8:$B$33,MATCH('OS&amp;E_FF&amp;E'!$A36,Overview!$A$8:$A$33,0))</f>
        <v>F&amp;B: Fixed Kitchen &amp; Bar Equipment</v>
      </c>
    </row>
    <row r="37" spans="1:12">
      <c r="A37" s="39" t="s">
        <v>15</v>
      </c>
      <c r="B37" s="84">
        <f>IF(INDEX(Overview!$C$8:$C$33,MATCH('OS&amp;E_FF&amp;E'!A37,Overview!$A$8:$A$33,0))=0,0,1)</f>
        <v>0</v>
      </c>
      <c r="C37" s="13" t="s">
        <v>142</v>
      </c>
      <c r="D37" s="13" t="s">
        <v>136</v>
      </c>
      <c r="E37" s="13">
        <v>0</v>
      </c>
      <c r="F37" s="65" t="s">
        <v>105</v>
      </c>
      <c r="G37" s="51">
        <v>605</v>
      </c>
      <c r="H37" s="41">
        <f t="shared" si="0"/>
        <v>0</v>
      </c>
      <c r="I37" s="39"/>
      <c r="J37" s="39"/>
      <c r="K37" s="39"/>
      <c r="L37" s="40" t="str">
        <f>INDEX(Overview!$B$8:$B$33,MATCH('OS&amp;E_FF&amp;E'!$A37,Overview!$A$8:$A$33,0))</f>
        <v>F&amp;B: Fixed Kitchen &amp; Bar Equipment</v>
      </c>
    </row>
    <row r="38" spans="1:12">
      <c r="A38" s="39" t="s">
        <v>15</v>
      </c>
      <c r="B38" s="84">
        <f>IF(INDEX(Overview!$C$8:$C$33,MATCH('OS&amp;E_FF&amp;E'!A38,Overview!$A$8:$A$33,0))=0,0,1)</f>
        <v>0</v>
      </c>
      <c r="C38" s="13" t="s">
        <v>143</v>
      </c>
      <c r="D38" s="13" t="s">
        <v>136</v>
      </c>
      <c r="E38" s="13">
        <v>0</v>
      </c>
      <c r="F38" s="65" t="s">
        <v>105</v>
      </c>
      <c r="G38" s="51">
        <v>1786</v>
      </c>
      <c r="H38" s="41">
        <f t="shared" si="0"/>
        <v>0</v>
      </c>
      <c r="I38" s="39"/>
      <c r="J38" s="39"/>
      <c r="K38" s="39"/>
      <c r="L38" s="40" t="str">
        <f>INDEX(Overview!$B$8:$B$33,MATCH('OS&amp;E_FF&amp;E'!$A38,Overview!$A$8:$A$33,0))</f>
        <v>F&amp;B: Fixed Kitchen &amp; Bar Equipment</v>
      </c>
    </row>
    <row r="39" spans="1:12">
      <c r="A39" s="39" t="s">
        <v>15</v>
      </c>
      <c r="B39" s="84">
        <f>IF(INDEX(Overview!$C$8:$C$33,MATCH('OS&amp;E_FF&amp;E'!A39,Overview!$A$8:$A$33,0))=0,0,1)</f>
        <v>0</v>
      </c>
      <c r="C39" s="13" t="s">
        <v>144</v>
      </c>
      <c r="D39" s="13" t="s">
        <v>136</v>
      </c>
      <c r="E39" s="13">
        <v>0</v>
      </c>
      <c r="F39" s="65" t="s">
        <v>105</v>
      </c>
      <c r="G39" s="51">
        <v>1395</v>
      </c>
      <c r="H39" s="41">
        <f t="shared" si="0"/>
        <v>0</v>
      </c>
      <c r="I39" s="39"/>
      <c r="J39" s="39"/>
      <c r="K39" s="39"/>
      <c r="L39" s="40" t="str">
        <f>INDEX(Overview!$B$8:$B$33,MATCH('OS&amp;E_FF&amp;E'!$A39,Overview!$A$8:$A$33,0))</f>
        <v>F&amp;B: Fixed Kitchen &amp; Bar Equipment</v>
      </c>
    </row>
    <row r="40" spans="1:12">
      <c r="A40" s="39" t="s">
        <v>15</v>
      </c>
      <c r="B40" s="84">
        <f>IF(INDEX(Overview!$C$8:$C$33,MATCH('OS&amp;E_FF&amp;E'!A40,Overview!$A$8:$A$33,0))=0,0,1)</f>
        <v>0</v>
      </c>
      <c r="C40" s="13" t="s">
        <v>145</v>
      </c>
      <c r="D40" s="13" t="s">
        <v>136</v>
      </c>
      <c r="E40" s="13">
        <v>0</v>
      </c>
      <c r="F40" s="65" t="s">
        <v>105</v>
      </c>
      <c r="G40" s="51">
        <v>29</v>
      </c>
      <c r="H40" s="41">
        <f t="shared" si="0"/>
        <v>0</v>
      </c>
      <c r="I40" s="39"/>
      <c r="J40" s="39"/>
      <c r="K40" s="39"/>
      <c r="L40" s="40" t="str">
        <f>INDEX(Overview!$B$8:$B$33,MATCH('OS&amp;E_FF&amp;E'!$A40,Overview!$A$8:$A$33,0))</f>
        <v>F&amp;B: Fixed Kitchen &amp; Bar Equipment</v>
      </c>
    </row>
    <row r="41" spans="1:12">
      <c r="A41" s="39" t="s">
        <v>15</v>
      </c>
      <c r="B41" s="84">
        <f>IF(INDEX(Overview!$C$8:$C$33,MATCH('OS&amp;E_FF&amp;E'!A41,Overview!$A$8:$A$33,0))=0,0,1)</f>
        <v>0</v>
      </c>
      <c r="C41" s="13" t="s">
        <v>146</v>
      </c>
      <c r="D41" s="13" t="s">
        <v>136</v>
      </c>
      <c r="E41" s="13">
        <v>0</v>
      </c>
      <c r="F41" s="65" t="s">
        <v>105</v>
      </c>
      <c r="G41" s="51">
        <v>165</v>
      </c>
      <c r="H41" s="41">
        <f t="shared" si="0"/>
        <v>0</v>
      </c>
      <c r="I41" s="39"/>
      <c r="J41" s="39"/>
      <c r="K41" s="39"/>
      <c r="L41" s="40" t="str">
        <f>INDEX(Overview!$B$8:$B$33,MATCH('OS&amp;E_FF&amp;E'!$A41,Overview!$A$8:$A$33,0))</f>
        <v>F&amp;B: Fixed Kitchen &amp; Bar Equipment</v>
      </c>
    </row>
    <row r="42" spans="1:12">
      <c r="A42" s="39" t="s">
        <v>15</v>
      </c>
      <c r="B42" s="84">
        <f>IF(INDEX(Overview!$C$8:$C$33,MATCH('OS&amp;E_FF&amp;E'!A42,Overview!$A$8:$A$33,0))=0,0,1)</f>
        <v>0</v>
      </c>
      <c r="C42" s="13" t="s">
        <v>118</v>
      </c>
      <c r="D42" s="13" t="s">
        <v>136</v>
      </c>
      <c r="E42" s="13">
        <v>0</v>
      </c>
      <c r="F42" s="65" t="s">
        <v>105</v>
      </c>
      <c r="G42" s="51">
        <v>876</v>
      </c>
      <c r="H42" s="41">
        <f t="shared" si="0"/>
        <v>0</v>
      </c>
      <c r="I42" s="39"/>
      <c r="J42" s="39"/>
      <c r="K42" s="39"/>
      <c r="L42" s="40" t="str">
        <f>INDEX(Overview!$B$8:$B$33,MATCH('OS&amp;E_FF&amp;E'!$A42,Overview!$A$8:$A$33,0))</f>
        <v>F&amp;B: Fixed Kitchen &amp; Bar Equipment</v>
      </c>
    </row>
    <row r="43" spans="1:12">
      <c r="A43" s="39" t="s">
        <v>15</v>
      </c>
      <c r="B43" s="84">
        <f>IF(INDEX(Overview!$C$8:$C$33,MATCH('OS&amp;E_FF&amp;E'!A43,Overview!$A$8:$A$33,0))=0,0,1)</f>
        <v>0</v>
      </c>
      <c r="C43" s="13" t="s">
        <v>147</v>
      </c>
      <c r="D43" s="13" t="s">
        <v>136</v>
      </c>
      <c r="E43" s="13">
        <v>0</v>
      </c>
      <c r="F43" s="65" t="s">
        <v>105</v>
      </c>
      <c r="G43" s="51">
        <v>1480</v>
      </c>
      <c r="H43" s="41">
        <f t="shared" si="0"/>
        <v>0</v>
      </c>
      <c r="I43" s="39"/>
      <c r="J43" s="39"/>
      <c r="K43" s="39"/>
      <c r="L43" s="40" t="str">
        <f>INDEX(Overview!$B$8:$B$33,MATCH('OS&amp;E_FF&amp;E'!$A43,Overview!$A$8:$A$33,0))</f>
        <v>F&amp;B: Fixed Kitchen &amp; Bar Equipment</v>
      </c>
    </row>
    <row r="44" spans="1:12">
      <c r="A44" s="39" t="s">
        <v>15</v>
      </c>
      <c r="B44" s="84">
        <f>IF(INDEX(Overview!$C$8:$C$33,MATCH('OS&amp;E_FF&amp;E'!A44,Overview!$A$8:$A$33,0))=0,0,1)</f>
        <v>0</v>
      </c>
      <c r="C44" s="13" t="s">
        <v>148</v>
      </c>
      <c r="D44" s="13" t="s">
        <v>149</v>
      </c>
      <c r="E44" s="13">
        <v>0</v>
      </c>
      <c r="F44" s="65" t="s">
        <v>105</v>
      </c>
      <c r="G44" s="51">
        <v>2442</v>
      </c>
      <c r="H44" s="41">
        <f t="shared" si="0"/>
        <v>0</v>
      </c>
      <c r="I44" s="39"/>
      <c r="J44" s="39"/>
      <c r="K44" s="39"/>
      <c r="L44" s="40" t="str">
        <f>INDEX(Overview!$B$8:$B$33,MATCH('OS&amp;E_FF&amp;E'!$A44,Overview!$A$8:$A$33,0))</f>
        <v>F&amp;B: Fixed Kitchen &amp; Bar Equipment</v>
      </c>
    </row>
    <row r="45" spans="1:12">
      <c r="A45" s="39" t="s">
        <v>15</v>
      </c>
      <c r="B45" s="84">
        <f>IF(INDEX(Overview!$C$8:$C$33,MATCH('OS&amp;E_FF&amp;E'!A45,Overview!$A$8:$A$33,0))=0,0,1)</f>
        <v>0</v>
      </c>
      <c r="C45" s="13" t="s">
        <v>150</v>
      </c>
      <c r="D45" s="13" t="s">
        <v>149</v>
      </c>
      <c r="E45" s="13">
        <v>0</v>
      </c>
      <c r="F45" s="68" t="s">
        <v>151</v>
      </c>
      <c r="G45" s="51">
        <v>17560</v>
      </c>
      <c r="H45" s="41">
        <f t="shared" si="0"/>
        <v>0</v>
      </c>
      <c r="I45" s="39"/>
      <c r="J45" s="39"/>
      <c r="K45" s="39"/>
      <c r="L45" s="40" t="str">
        <f>INDEX(Overview!$B$8:$B$33,MATCH('OS&amp;E_FF&amp;E'!$A45,Overview!$A$8:$A$33,0))</f>
        <v>F&amp;B: Fixed Kitchen &amp; Bar Equipment</v>
      </c>
    </row>
    <row r="46" spans="1:12">
      <c r="A46" s="39" t="s">
        <v>15</v>
      </c>
      <c r="B46" s="84">
        <f>IF(INDEX(Overview!$C$8:$C$33,MATCH('OS&amp;E_FF&amp;E'!A46,Overview!$A$8:$A$33,0))=0,0,1)</f>
        <v>0</v>
      </c>
      <c r="C46" s="13" t="s">
        <v>152</v>
      </c>
      <c r="D46" s="13" t="s">
        <v>149</v>
      </c>
      <c r="E46" s="13">
        <v>0</v>
      </c>
      <c r="F46" s="65"/>
      <c r="G46" s="51">
        <v>1850</v>
      </c>
      <c r="H46" s="41">
        <f t="shared" si="0"/>
        <v>0</v>
      </c>
      <c r="I46" s="39"/>
      <c r="J46" s="39"/>
      <c r="K46" s="39"/>
      <c r="L46" s="40" t="str">
        <f>INDEX(Overview!$B$8:$B$33,MATCH('OS&amp;E_FF&amp;E'!$A46,Overview!$A$8:$A$33,0))</f>
        <v>F&amp;B: Fixed Kitchen &amp; Bar Equipment</v>
      </c>
    </row>
    <row r="47" spans="1:12">
      <c r="A47" s="39" t="s">
        <v>15</v>
      </c>
      <c r="B47" s="84">
        <f>IF(INDEX(Overview!$C$8:$C$33,MATCH('OS&amp;E_FF&amp;E'!A47,Overview!$A$8:$A$33,0))=0,0,1)</f>
        <v>0</v>
      </c>
      <c r="C47" s="13" t="s">
        <v>152</v>
      </c>
      <c r="D47" s="13" t="s">
        <v>149</v>
      </c>
      <c r="E47" s="13">
        <v>0</v>
      </c>
      <c r="F47" s="65" t="s">
        <v>105</v>
      </c>
      <c r="G47" s="51">
        <v>1850</v>
      </c>
      <c r="H47" s="41">
        <f t="shared" si="0"/>
        <v>0</v>
      </c>
      <c r="I47" s="39"/>
      <c r="J47" s="39"/>
      <c r="K47" s="39"/>
      <c r="L47" s="40" t="str">
        <f>INDEX(Overview!$B$8:$B$33,MATCH('OS&amp;E_FF&amp;E'!$A47,Overview!$A$8:$A$33,0))</f>
        <v>F&amp;B: Fixed Kitchen &amp; Bar Equipment</v>
      </c>
    </row>
    <row r="48" spans="1:12">
      <c r="A48" s="39" t="s">
        <v>15</v>
      </c>
      <c r="B48" s="84">
        <f>IF(INDEX(Overview!$C$8:$C$33,MATCH('OS&amp;E_FF&amp;E'!A48,Overview!$A$8:$A$33,0))=0,0,1)</f>
        <v>0</v>
      </c>
      <c r="C48" s="13" t="s">
        <v>153</v>
      </c>
      <c r="D48" s="13" t="s">
        <v>149</v>
      </c>
      <c r="E48" s="13">
        <v>0</v>
      </c>
      <c r="F48" s="65" t="s">
        <v>105</v>
      </c>
      <c r="G48" s="51">
        <v>2250</v>
      </c>
      <c r="H48" s="41">
        <f t="shared" si="0"/>
        <v>0</v>
      </c>
      <c r="I48" s="39"/>
      <c r="J48" s="39"/>
      <c r="K48" s="39"/>
      <c r="L48" s="40" t="str">
        <f>INDEX(Overview!$B$8:$B$33,MATCH('OS&amp;E_FF&amp;E'!$A48,Overview!$A$8:$A$33,0))</f>
        <v>F&amp;B: Fixed Kitchen &amp; Bar Equipment</v>
      </c>
    </row>
    <row r="49" spans="1:12">
      <c r="A49" s="39" t="s">
        <v>15</v>
      </c>
      <c r="B49" s="84">
        <f>IF(INDEX(Overview!$C$8:$C$33,MATCH('OS&amp;E_FF&amp;E'!A49,Overview!$A$8:$A$33,0))=0,0,1)</f>
        <v>0</v>
      </c>
      <c r="C49" s="13" t="s">
        <v>154</v>
      </c>
      <c r="D49" s="13" t="s">
        <v>155</v>
      </c>
      <c r="E49" s="13">
        <v>0</v>
      </c>
      <c r="F49" s="65" t="s">
        <v>105</v>
      </c>
      <c r="G49" s="50">
        <v>3500</v>
      </c>
      <c r="H49" s="41">
        <f t="shared" si="0"/>
        <v>0</v>
      </c>
      <c r="I49" s="39"/>
      <c r="J49" s="39"/>
      <c r="K49" s="39"/>
      <c r="L49" s="40" t="str">
        <f>INDEX(Overview!$B$8:$B$33,MATCH('OS&amp;E_FF&amp;E'!$A49,Overview!$A$8:$A$33,0))</f>
        <v>F&amp;B: Fixed Kitchen &amp; Bar Equipment</v>
      </c>
    </row>
    <row r="50" spans="1:12">
      <c r="A50" s="39" t="s">
        <v>15</v>
      </c>
      <c r="B50" s="84">
        <f>IF(INDEX(Overview!$C$8:$C$33,MATCH('OS&amp;E_FF&amp;E'!A50,Overview!$A$8:$A$33,0))=0,0,1)</f>
        <v>0</v>
      </c>
      <c r="C50" s="13" t="s">
        <v>156</v>
      </c>
      <c r="D50" s="13" t="s">
        <v>157</v>
      </c>
      <c r="E50" s="13">
        <v>0</v>
      </c>
      <c r="F50" s="65" t="s">
        <v>105</v>
      </c>
      <c r="G50" s="50">
        <v>6450</v>
      </c>
      <c r="H50" s="41">
        <f t="shared" si="0"/>
        <v>0</v>
      </c>
      <c r="I50" s="39"/>
      <c r="J50" s="39"/>
      <c r="K50" s="39"/>
      <c r="L50" s="40" t="str">
        <f>INDEX(Overview!$B$8:$B$33,MATCH('OS&amp;E_FF&amp;E'!$A50,Overview!$A$8:$A$33,0))</f>
        <v>F&amp;B: Fixed Kitchen &amp; Bar Equipment</v>
      </c>
    </row>
    <row r="51" spans="1:12">
      <c r="A51" s="39" t="s">
        <v>15</v>
      </c>
      <c r="B51" s="84">
        <f>IF(INDEX(Overview!$C$8:$C$33,MATCH('OS&amp;E_FF&amp;E'!A51,Overview!$A$8:$A$33,0))=0,0,1)</f>
        <v>0</v>
      </c>
      <c r="C51" s="13" t="s">
        <v>158</v>
      </c>
      <c r="D51" s="13" t="s">
        <v>159</v>
      </c>
      <c r="E51" s="13">
        <v>0</v>
      </c>
      <c r="F51" s="65" t="s">
        <v>105</v>
      </c>
      <c r="G51" s="50">
        <f>-3542+50</f>
        <v>-3492</v>
      </c>
      <c r="H51" s="41">
        <f t="shared" si="0"/>
        <v>0</v>
      </c>
      <c r="I51" s="39"/>
      <c r="J51" s="39"/>
      <c r="K51" s="39"/>
      <c r="L51" s="40" t="str">
        <f>INDEX(Overview!$B$8:$B$33,MATCH('OS&amp;E_FF&amp;E'!$A51,Overview!$A$8:$A$33,0))</f>
        <v>F&amp;B: Fixed Kitchen &amp; Bar Equipment</v>
      </c>
    </row>
    <row r="52" spans="1:12">
      <c r="A52" s="54" t="s">
        <v>18</v>
      </c>
      <c r="B52" s="85">
        <f>IF(INDEX(Overview!$C$8:$C$33,MATCH('OS&amp;E_FF&amp;E'!A52,Overview!$A$8:$A$33,0))=0,0,1)</f>
        <v>0</v>
      </c>
      <c r="C52" s="53" t="s">
        <v>160</v>
      </c>
      <c r="D52" s="53" t="s">
        <v>161</v>
      </c>
      <c r="E52" s="13">
        <v>0</v>
      </c>
      <c r="F52" s="54"/>
      <c r="G52" s="55">
        <v>2784.64</v>
      </c>
      <c r="H52" s="56">
        <f t="shared" si="0"/>
        <v>0</v>
      </c>
      <c r="I52" s="39"/>
      <c r="J52" s="39"/>
      <c r="K52" s="39"/>
      <c r="L52" s="40" t="str">
        <f>INDEX(Overview!$B$8:$B$33,MATCH('OS&amp;E_FF&amp;E'!$A52,Overview!$A$8:$A$33,0))</f>
        <v>F&amp;B: Coffee equipment</v>
      </c>
    </row>
    <row r="53" spans="1:12">
      <c r="A53" s="54" t="s">
        <v>18</v>
      </c>
      <c r="B53" s="85">
        <f>IF(INDEX(Overview!$C$8:$C$33,MATCH('OS&amp;E_FF&amp;E'!A53,Overview!$A$8:$A$33,0))=0,0,1)</f>
        <v>0</v>
      </c>
      <c r="C53" s="53" t="s">
        <v>162</v>
      </c>
      <c r="D53" s="53" t="s">
        <v>161</v>
      </c>
      <c r="E53" s="13">
        <v>0</v>
      </c>
      <c r="F53" s="54"/>
      <c r="G53" s="55">
        <v>591.64</v>
      </c>
      <c r="H53" s="56">
        <f t="shared" si="0"/>
        <v>0</v>
      </c>
      <c r="I53" s="39"/>
      <c r="J53" s="39"/>
      <c r="K53" s="39"/>
      <c r="L53" s="40" t="str">
        <f>INDEX(Overview!$B$8:$B$33,MATCH('OS&amp;E_FF&amp;E'!$A53,Overview!$A$8:$A$33,0))</f>
        <v>F&amp;B: Coffee equipment</v>
      </c>
    </row>
    <row r="54" spans="1:12">
      <c r="A54" s="54" t="s">
        <v>18</v>
      </c>
      <c r="B54" s="85">
        <f>IF(INDEX(Overview!$C$8:$C$33,MATCH('OS&amp;E_FF&amp;E'!A54,Overview!$A$8:$A$33,0))=0,0,1)</f>
        <v>0</v>
      </c>
      <c r="C54" s="53" t="s">
        <v>163</v>
      </c>
      <c r="D54" s="53" t="s">
        <v>161</v>
      </c>
      <c r="E54" s="13">
        <v>0</v>
      </c>
      <c r="F54" s="54"/>
      <c r="G54" s="55">
        <v>2141.79</v>
      </c>
      <c r="H54" s="56">
        <f t="shared" si="0"/>
        <v>0</v>
      </c>
      <c r="I54" s="39"/>
      <c r="J54" s="39"/>
      <c r="K54" s="39"/>
      <c r="L54" s="40" t="str">
        <f>INDEX(Overview!$B$8:$B$33,MATCH('OS&amp;E_FF&amp;E'!$A54,Overview!$A$8:$A$33,0))</f>
        <v>F&amp;B: Coffee equipment</v>
      </c>
    </row>
    <row r="55" spans="1:12">
      <c r="A55" s="54" t="s">
        <v>18</v>
      </c>
      <c r="B55" s="85">
        <f>IF(INDEX(Overview!$C$8:$C$33,MATCH('OS&amp;E_FF&amp;E'!A55,Overview!$A$8:$A$33,0))=0,0,1)</f>
        <v>0</v>
      </c>
      <c r="C55" s="53" t="s">
        <v>164</v>
      </c>
      <c r="D55" s="53" t="s">
        <v>161</v>
      </c>
      <c r="E55" s="13">
        <v>0</v>
      </c>
      <c r="F55" s="54"/>
      <c r="G55" s="55">
        <v>350</v>
      </c>
      <c r="H55" s="56">
        <f t="shared" si="0"/>
        <v>0</v>
      </c>
      <c r="I55" s="39"/>
      <c r="J55" s="39"/>
      <c r="K55" s="39"/>
      <c r="L55" s="40" t="str">
        <f>INDEX(Overview!$B$8:$B$33,MATCH('OS&amp;E_FF&amp;E'!$A55,Overview!$A$8:$A$33,0))</f>
        <v>F&amp;B: Coffee equipment</v>
      </c>
    </row>
    <row r="56" spans="1:12">
      <c r="A56" s="54" t="s">
        <v>18</v>
      </c>
      <c r="B56" s="85">
        <f>IF(INDEX(Overview!$C$8:$C$33,MATCH('OS&amp;E_FF&amp;E'!A56,Overview!$A$8:$A$33,0))=0,0,1)</f>
        <v>0</v>
      </c>
      <c r="C56" s="53" t="s">
        <v>165</v>
      </c>
      <c r="D56" s="53" t="s">
        <v>161</v>
      </c>
      <c r="E56" s="13">
        <v>0</v>
      </c>
      <c r="F56" s="54"/>
      <c r="G56" s="55">
        <v>2000</v>
      </c>
      <c r="H56" s="56">
        <f t="shared" si="0"/>
        <v>0</v>
      </c>
      <c r="I56" s="39"/>
      <c r="J56" s="39"/>
      <c r="K56" s="39"/>
      <c r="L56" s="40" t="str">
        <f>INDEX(Overview!$B$8:$B$33,MATCH('OS&amp;E_FF&amp;E'!$A56,Overview!$A$8:$A$33,0))</f>
        <v>F&amp;B: Coffee equipment</v>
      </c>
    </row>
    <row r="57" spans="1:12">
      <c r="A57" s="54" t="s">
        <v>18</v>
      </c>
      <c r="B57" s="85">
        <f>IF(INDEX(Overview!$C$8:$C$33,MATCH('OS&amp;E_FF&amp;E'!A57,Overview!$A$8:$A$33,0))=0,0,1)</f>
        <v>0</v>
      </c>
      <c r="C57" s="53" t="s">
        <v>166</v>
      </c>
      <c r="D57" s="53" t="s">
        <v>126</v>
      </c>
      <c r="E57" s="13">
        <v>0</v>
      </c>
      <c r="F57" s="54"/>
      <c r="G57" s="55">
        <v>16610</v>
      </c>
      <c r="H57" s="56">
        <f t="shared" si="0"/>
        <v>0</v>
      </c>
      <c r="I57" s="39"/>
      <c r="J57" s="39"/>
      <c r="K57" s="39"/>
      <c r="L57" s="40" t="str">
        <f>INDEX(Overview!$B$8:$B$33,MATCH('OS&amp;E_FF&amp;E'!$A57,Overview!$A$8:$A$33,0))</f>
        <v>F&amp;B: Coffee equipment</v>
      </c>
    </row>
    <row r="58" spans="1:12">
      <c r="A58" s="54" t="s">
        <v>18</v>
      </c>
      <c r="B58" s="85">
        <f>IF(INDEX(Overview!$C$8:$C$33,MATCH('OS&amp;E_FF&amp;E'!A58,Overview!$A$8:$A$33,0))=0,0,1)</f>
        <v>0</v>
      </c>
      <c r="C58" s="53" t="s">
        <v>167</v>
      </c>
      <c r="D58" s="53" t="s">
        <v>126</v>
      </c>
      <c r="E58" s="53">
        <v>0</v>
      </c>
      <c r="F58" s="54"/>
      <c r="G58" s="55">
        <v>0</v>
      </c>
      <c r="H58" s="56">
        <f t="shared" si="0"/>
        <v>0</v>
      </c>
      <c r="I58" s="39"/>
      <c r="J58" s="39"/>
      <c r="K58" s="39"/>
      <c r="L58" s="40" t="str">
        <f>INDEX(Overview!$B$8:$B$33,MATCH('OS&amp;E_FF&amp;E'!$A58,Overview!$A$8:$A$33,0))</f>
        <v>F&amp;B: Coffee equipment</v>
      </c>
    </row>
    <row r="59" spans="1:12">
      <c r="A59" s="54" t="s">
        <v>18</v>
      </c>
      <c r="B59" s="85">
        <f>IF(INDEX(Overview!$C$8:$C$33,MATCH('OS&amp;E_FF&amp;E'!A59,Overview!$A$8:$A$33,0))=0,0,1)</f>
        <v>0</v>
      </c>
      <c r="C59" s="53" t="s">
        <v>168</v>
      </c>
      <c r="D59" s="53" t="s">
        <v>126</v>
      </c>
      <c r="E59" s="53">
        <v>0</v>
      </c>
      <c r="F59" s="54"/>
      <c r="G59" s="55">
        <v>46</v>
      </c>
      <c r="H59" s="56">
        <f t="shared" si="0"/>
        <v>0</v>
      </c>
      <c r="I59" s="39"/>
      <c r="J59" s="39"/>
      <c r="K59" s="39"/>
      <c r="L59" s="40" t="str">
        <f>INDEX(Overview!$B$8:$B$33,MATCH('OS&amp;E_FF&amp;E'!$A59,Overview!$A$8:$A$33,0))</f>
        <v>F&amp;B: Coffee equipment</v>
      </c>
    </row>
    <row r="60" spans="1:12">
      <c r="A60" s="54" t="s">
        <v>18</v>
      </c>
      <c r="B60" s="85">
        <f>IF(INDEX(Overview!$C$8:$C$33,MATCH('OS&amp;E_FF&amp;E'!A60,Overview!$A$8:$A$33,0))=0,0,1)</f>
        <v>0</v>
      </c>
      <c r="C60" s="53" t="s">
        <v>169</v>
      </c>
      <c r="D60" s="53" t="s">
        <v>126</v>
      </c>
      <c r="E60" s="13">
        <v>0</v>
      </c>
      <c r="F60" s="54"/>
      <c r="G60" s="55">
        <v>600</v>
      </c>
      <c r="H60" s="56">
        <f t="shared" si="0"/>
        <v>0</v>
      </c>
      <c r="I60" s="39"/>
      <c r="J60" s="39"/>
      <c r="K60" s="39"/>
      <c r="L60" s="40" t="str">
        <f>INDEX(Overview!$B$8:$B$33,MATCH('OS&amp;E_FF&amp;E'!$A60,Overview!$A$8:$A$33,0))</f>
        <v>F&amp;B: Coffee equipment</v>
      </c>
    </row>
    <row r="61" spans="1:12">
      <c r="A61" s="54" t="s">
        <v>18</v>
      </c>
      <c r="B61" s="85">
        <f>IF(INDEX(Overview!$C$8:$C$33,MATCH('OS&amp;E_FF&amp;E'!A61,Overview!$A$8:$A$33,0))=0,0,1)</f>
        <v>0</v>
      </c>
      <c r="C61" s="53" t="s">
        <v>170</v>
      </c>
      <c r="D61" s="53" t="s">
        <v>126</v>
      </c>
      <c r="E61" s="13">
        <v>0</v>
      </c>
      <c r="F61" s="54"/>
      <c r="G61" s="55">
        <v>420</v>
      </c>
      <c r="H61" s="56">
        <f t="shared" si="0"/>
        <v>0</v>
      </c>
      <c r="I61" s="39"/>
      <c r="J61" s="39"/>
      <c r="K61" s="39"/>
      <c r="L61" s="40" t="str">
        <f>INDEX(Overview!$B$8:$B$33,MATCH('OS&amp;E_FF&amp;E'!$A61,Overview!$A$8:$A$33,0))</f>
        <v>F&amp;B: Coffee equipment</v>
      </c>
    </row>
    <row r="62" spans="1:12">
      <c r="A62" s="54" t="s">
        <v>18</v>
      </c>
      <c r="B62" s="85">
        <f>IF(INDEX(Overview!$C$8:$C$33,MATCH('OS&amp;E_FF&amp;E'!A62,Overview!$A$8:$A$33,0))=0,0,1)</f>
        <v>0</v>
      </c>
      <c r="C62" s="53" t="s">
        <v>171</v>
      </c>
      <c r="D62" s="53" t="s">
        <v>126</v>
      </c>
      <c r="E62" s="13">
        <v>0</v>
      </c>
      <c r="F62" s="54"/>
      <c r="G62" s="55">
        <v>885</v>
      </c>
      <c r="H62" s="56">
        <f t="shared" si="0"/>
        <v>0</v>
      </c>
      <c r="I62" s="39"/>
      <c r="J62" s="39"/>
      <c r="K62" s="39"/>
      <c r="L62" s="40" t="str">
        <f>INDEX(Overview!$B$8:$B$33,MATCH('OS&amp;E_FF&amp;E'!$A62,Overview!$A$8:$A$33,0))</f>
        <v>F&amp;B: Coffee equipment</v>
      </c>
    </row>
    <row r="63" spans="1:12">
      <c r="A63" s="54" t="s">
        <v>18</v>
      </c>
      <c r="B63" s="85">
        <f>IF(INDEX(Overview!$C$8:$C$33,MATCH('OS&amp;E_FF&amp;E'!A63,Overview!$A$8:$A$33,0))=0,0,1)</f>
        <v>0</v>
      </c>
      <c r="C63" s="53" t="s">
        <v>172</v>
      </c>
      <c r="D63" s="53" t="s">
        <v>126</v>
      </c>
      <c r="E63" s="13">
        <v>0</v>
      </c>
      <c r="F63" s="54"/>
      <c r="G63" s="55">
        <v>2940</v>
      </c>
      <c r="H63" s="56">
        <f t="shared" si="0"/>
        <v>0</v>
      </c>
      <c r="I63" s="39"/>
      <c r="J63" s="39"/>
      <c r="K63" s="39"/>
      <c r="L63" s="40" t="str">
        <f>INDEX(Overview!$B$8:$B$33,MATCH('OS&amp;E_FF&amp;E'!$A63,Overview!$A$8:$A$33,0))</f>
        <v>F&amp;B: Coffee equipment</v>
      </c>
    </row>
    <row r="64" spans="1:12">
      <c r="A64" s="54" t="s">
        <v>18</v>
      </c>
      <c r="B64" s="85">
        <f>IF(INDEX(Overview!$C$8:$C$33,MATCH('OS&amp;E_FF&amp;E'!A64,Overview!$A$8:$A$33,0))=0,0,1)</f>
        <v>0</v>
      </c>
      <c r="C64" s="53" t="s">
        <v>173</v>
      </c>
      <c r="D64" s="53" t="s">
        <v>126</v>
      </c>
      <c r="E64" s="13">
        <v>0</v>
      </c>
      <c r="F64" s="54"/>
      <c r="G64" s="55">
        <v>420</v>
      </c>
      <c r="H64" s="56">
        <f t="shared" si="0"/>
        <v>0</v>
      </c>
      <c r="I64" s="39"/>
      <c r="J64" s="39"/>
      <c r="K64" s="39"/>
      <c r="L64" s="40" t="str">
        <f>INDEX(Overview!$B$8:$B$33,MATCH('OS&amp;E_FF&amp;E'!$A64,Overview!$A$8:$A$33,0))</f>
        <v>F&amp;B: Coffee equipment</v>
      </c>
    </row>
    <row r="65" spans="1:12">
      <c r="A65" s="54" t="s">
        <v>18</v>
      </c>
      <c r="B65" s="85">
        <f>IF(INDEX(Overview!$C$8:$C$33,MATCH('OS&amp;E_FF&amp;E'!A65,Overview!$A$8:$A$33,0))=0,0,1)</f>
        <v>0</v>
      </c>
      <c r="C65" s="53" t="s">
        <v>174</v>
      </c>
      <c r="D65" s="53" t="s">
        <v>126</v>
      </c>
      <c r="E65" s="13">
        <v>0</v>
      </c>
      <c r="F65" s="54"/>
      <c r="G65" s="55">
        <v>214</v>
      </c>
      <c r="H65" s="56">
        <f t="shared" si="0"/>
        <v>0</v>
      </c>
      <c r="I65" s="39"/>
      <c r="J65" s="39"/>
      <c r="K65" s="39"/>
      <c r="L65" s="40" t="str">
        <f>INDEX(Overview!$B$8:$B$33,MATCH('OS&amp;E_FF&amp;E'!$A65,Overview!$A$8:$A$33,0))</f>
        <v>F&amp;B: Coffee equipment</v>
      </c>
    </row>
    <row r="66" spans="1:12">
      <c r="A66" s="39" t="s">
        <v>20</v>
      </c>
      <c r="B66" s="84">
        <f>IF(INDEX(Overview!$C$8:$C$33,MATCH('OS&amp;E_FF&amp;E'!A66,Overview!$A$8:$A$33,0))=0,0,1)</f>
        <v>0</v>
      </c>
      <c r="C66" s="13" t="s">
        <v>175</v>
      </c>
      <c r="D66" s="13" t="s">
        <v>176</v>
      </c>
      <c r="E66" s="13">
        <v>0</v>
      </c>
      <c r="F66" s="39" t="s">
        <v>177</v>
      </c>
      <c r="G66" s="50">
        <v>1068</v>
      </c>
      <c r="H66" s="41">
        <f t="shared" ref="H66:H129" si="1">E66*G66</f>
        <v>0</v>
      </c>
      <c r="I66" s="39"/>
      <c r="J66" s="39"/>
      <c r="K66" s="39"/>
      <c r="L66" s="40" t="str">
        <f>INDEX(Overview!$B$8:$B$33,MATCH('OS&amp;E_FF&amp;E'!$A66,Overview!$A$8:$A$33,0))</f>
        <v>F&amp;B: Operating Systems</v>
      </c>
    </row>
    <row r="67" spans="1:12">
      <c r="A67" s="39" t="s">
        <v>20</v>
      </c>
      <c r="B67" s="84">
        <f>IF(INDEX(Overview!$C$8:$C$33,MATCH('OS&amp;E_FF&amp;E'!A67,Overview!$A$8:$A$33,0))=0,0,1)</f>
        <v>0</v>
      </c>
      <c r="C67" s="13" t="s">
        <v>178</v>
      </c>
      <c r="D67" s="13" t="s">
        <v>176</v>
      </c>
      <c r="E67" s="13">
        <v>0</v>
      </c>
      <c r="F67" s="39" t="s">
        <v>177</v>
      </c>
      <c r="G67" s="50">
        <v>348</v>
      </c>
      <c r="H67" s="41">
        <f t="shared" si="1"/>
        <v>0</v>
      </c>
      <c r="I67" s="39"/>
      <c r="J67" s="39"/>
      <c r="K67" s="39"/>
      <c r="L67" s="40" t="str">
        <f>INDEX(Overview!$B$8:$B$33,MATCH('OS&amp;E_FF&amp;E'!$A67,Overview!$A$8:$A$33,0))</f>
        <v>F&amp;B: Operating Systems</v>
      </c>
    </row>
    <row r="68" spans="1:12">
      <c r="A68" s="39" t="s">
        <v>20</v>
      </c>
      <c r="B68" s="84">
        <f>IF(INDEX(Overview!$C$8:$C$33,MATCH('OS&amp;E_FF&amp;E'!A68,Overview!$A$8:$A$33,0))=0,0,1)</f>
        <v>0</v>
      </c>
      <c r="C68" s="13" t="s">
        <v>179</v>
      </c>
      <c r="D68" s="13" t="s">
        <v>176</v>
      </c>
      <c r="E68" s="13">
        <v>0</v>
      </c>
      <c r="F68" s="39" t="s">
        <v>177</v>
      </c>
      <c r="G68" s="50">
        <f>5364/3</f>
        <v>1788</v>
      </c>
      <c r="H68" s="41">
        <f t="shared" si="1"/>
        <v>0</v>
      </c>
      <c r="I68" s="39"/>
      <c r="J68" s="39"/>
      <c r="K68" s="39"/>
      <c r="L68" s="40" t="str">
        <f>INDEX(Overview!$B$8:$B$33,MATCH('OS&amp;E_FF&amp;E'!$A68,Overview!$A$8:$A$33,0))</f>
        <v>F&amp;B: Operating Systems</v>
      </c>
    </row>
    <row r="69" spans="1:12">
      <c r="A69" s="39" t="s">
        <v>20</v>
      </c>
      <c r="B69" s="84">
        <f>IF(INDEX(Overview!$C$8:$C$33,MATCH('OS&amp;E_FF&amp;E'!A69,Overview!$A$8:$A$33,0))=0,0,1)</f>
        <v>0</v>
      </c>
      <c r="C69" s="13" t="s">
        <v>180</v>
      </c>
      <c r="D69" s="13" t="s">
        <v>176</v>
      </c>
      <c r="E69" s="13">
        <v>0</v>
      </c>
      <c r="F69" s="39" t="s">
        <v>177</v>
      </c>
      <c r="G69" s="50">
        <f>758/2</f>
        <v>379</v>
      </c>
      <c r="H69" s="41">
        <f t="shared" si="1"/>
        <v>0</v>
      </c>
      <c r="I69" s="39"/>
      <c r="J69" s="39"/>
      <c r="K69" s="39"/>
      <c r="L69" s="40" t="str">
        <f>INDEX(Overview!$B$8:$B$33,MATCH('OS&amp;E_FF&amp;E'!$A69,Overview!$A$8:$A$33,0))</f>
        <v>F&amp;B: Operating Systems</v>
      </c>
    </row>
    <row r="70" spans="1:12">
      <c r="A70" s="39" t="s">
        <v>20</v>
      </c>
      <c r="B70" s="84">
        <f>IF(INDEX(Overview!$C$8:$C$33,MATCH('OS&amp;E_FF&amp;E'!A70,Overview!$A$8:$A$33,0))=0,0,1)</f>
        <v>0</v>
      </c>
      <c r="C70" s="13" t="s">
        <v>181</v>
      </c>
      <c r="D70" s="13" t="s">
        <v>176</v>
      </c>
      <c r="E70" s="13">
        <v>0</v>
      </c>
      <c r="F70" s="39" t="s">
        <v>177</v>
      </c>
      <c r="G70" s="50">
        <f>184/2</f>
        <v>92</v>
      </c>
      <c r="H70" s="41">
        <f t="shared" si="1"/>
        <v>0</v>
      </c>
      <c r="I70" s="39"/>
      <c r="J70" s="39"/>
      <c r="K70" s="39"/>
      <c r="L70" s="40" t="str">
        <f>INDEX(Overview!$B$8:$B$33,MATCH('OS&amp;E_FF&amp;E'!$A70,Overview!$A$8:$A$33,0))</f>
        <v>F&amp;B: Operating Systems</v>
      </c>
    </row>
    <row r="71" spans="1:12">
      <c r="A71" s="39" t="s">
        <v>20</v>
      </c>
      <c r="B71" s="84">
        <f>IF(INDEX(Overview!$C$8:$C$33,MATCH('OS&amp;E_FF&amp;E'!A71,Overview!$A$8:$A$33,0))=0,0,1)</f>
        <v>0</v>
      </c>
      <c r="C71" s="13" t="s">
        <v>182</v>
      </c>
      <c r="D71" s="13" t="s">
        <v>176</v>
      </c>
      <c r="E71" s="13">
        <v>0</v>
      </c>
      <c r="F71" s="39" t="s">
        <v>177</v>
      </c>
      <c r="G71" s="50">
        <f>1914/6</f>
        <v>319</v>
      </c>
      <c r="H71" s="41">
        <f t="shared" si="1"/>
        <v>0</v>
      </c>
      <c r="I71" s="39"/>
      <c r="J71" s="39"/>
      <c r="K71" s="39"/>
      <c r="L71" s="40" t="str">
        <f>INDEX(Overview!$B$8:$B$33,MATCH('OS&amp;E_FF&amp;E'!$A71,Overview!$A$8:$A$33,0))</f>
        <v>F&amp;B: Operating Systems</v>
      </c>
    </row>
    <row r="72" spans="1:12">
      <c r="A72" s="39" t="s">
        <v>20</v>
      </c>
      <c r="B72" s="84">
        <f>IF(INDEX(Overview!$C$8:$C$33,MATCH('OS&amp;E_FF&amp;E'!A72,Overview!$A$8:$A$33,0))=0,0,1)</f>
        <v>0</v>
      </c>
      <c r="C72" s="13" t="s">
        <v>183</v>
      </c>
      <c r="D72" s="13" t="s">
        <v>176</v>
      </c>
      <c r="E72" s="13">
        <v>0</v>
      </c>
      <c r="F72" s="39" t="s">
        <v>177</v>
      </c>
      <c r="G72" s="50">
        <f>864/6</f>
        <v>144</v>
      </c>
      <c r="H72" s="41">
        <f t="shared" si="1"/>
        <v>0</v>
      </c>
      <c r="I72" s="39"/>
      <c r="J72" s="39"/>
      <c r="K72" s="39"/>
      <c r="L72" s="40" t="str">
        <f>INDEX(Overview!$B$8:$B$33,MATCH('OS&amp;E_FF&amp;E'!$A72,Overview!$A$8:$A$33,0))</f>
        <v>F&amp;B: Operating Systems</v>
      </c>
    </row>
    <row r="73" spans="1:12">
      <c r="A73" s="39" t="s">
        <v>20</v>
      </c>
      <c r="B73" s="84">
        <f>IF(INDEX(Overview!$C$8:$C$33,MATCH('OS&amp;E_FF&amp;E'!A73,Overview!$A$8:$A$33,0))=0,0,1)</f>
        <v>0</v>
      </c>
      <c r="C73" s="13" t="s">
        <v>184</v>
      </c>
      <c r="D73" s="13" t="s">
        <v>176</v>
      </c>
      <c r="E73" s="13">
        <v>0</v>
      </c>
      <c r="F73" s="39" t="s">
        <v>177</v>
      </c>
      <c r="G73" s="50">
        <f>1974/6</f>
        <v>329</v>
      </c>
      <c r="H73" s="41">
        <f t="shared" si="1"/>
        <v>0</v>
      </c>
      <c r="I73" s="39"/>
      <c r="J73" s="39"/>
      <c r="K73" s="39"/>
      <c r="L73" s="40" t="str">
        <f>INDEX(Overview!$B$8:$B$33,MATCH('OS&amp;E_FF&amp;E'!$A73,Overview!$A$8:$A$33,0))</f>
        <v>F&amp;B: Operating Systems</v>
      </c>
    </row>
    <row r="74" spans="1:12">
      <c r="A74" s="39" t="s">
        <v>20</v>
      </c>
      <c r="B74" s="84">
        <f>IF(INDEX(Overview!$C$8:$C$33,MATCH('OS&amp;E_FF&amp;E'!A74,Overview!$A$8:$A$33,0))=0,0,1)</f>
        <v>0</v>
      </c>
      <c r="C74" s="13" t="s">
        <v>185</v>
      </c>
      <c r="D74" s="13" t="s">
        <v>176</v>
      </c>
      <c r="E74" s="13">
        <v>0</v>
      </c>
      <c r="F74" s="39" t="s">
        <v>177</v>
      </c>
      <c r="G74" s="50">
        <f>117/3</f>
        <v>39</v>
      </c>
      <c r="H74" s="41">
        <f t="shared" si="1"/>
        <v>0</v>
      </c>
      <c r="I74" s="39"/>
      <c r="J74" s="39"/>
      <c r="K74" s="39"/>
      <c r="L74" s="40" t="str">
        <f>INDEX(Overview!$B$8:$B$33,MATCH('OS&amp;E_FF&amp;E'!$A74,Overview!$A$8:$A$33,0))</f>
        <v>F&amp;B: Operating Systems</v>
      </c>
    </row>
    <row r="75" spans="1:12">
      <c r="A75" s="39" t="s">
        <v>20</v>
      </c>
      <c r="B75" s="84">
        <f>IF(INDEX(Overview!$C$8:$C$33,MATCH('OS&amp;E_FF&amp;E'!A75,Overview!$A$8:$A$33,0))=0,0,1)</f>
        <v>0</v>
      </c>
      <c r="C75" s="13" t="s">
        <v>186</v>
      </c>
      <c r="D75" s="13" t="s">
        <v>176</v>
      </c>
      <c r="E75" s="13">
        <v>0</v>
      </c>
      <c r="F75" s="39" t="s">
        <v>177</v>
      </c>
      <c r="G75" s="50">
        <f>3600/3</f>
        <v>1200</v>
      </c>
      <c r="H75" s="41">
        <f t="shared" si="1"/>
        <v>0</v>
      </c>
      <c r="I75" s="39"/>
      <c r="J75" s="39"/>
      <c r="K75" s="39"/>
      <c r="L75" s="40" t="str">
        <f>INDEX(Overview!$B$8:$B$33,MATCH('OS&amp;E_FF&amp;E'!$A75,Overview!$A$8:$A$33,0))</f>
        <v>F&amp;B: Operating Systems</v>
      </c>
    </row>
    <row r="76" spans="1:12">
      <c r="A76" s="39" t="s">
        <v>20</v>
      </c>
      <c r="B76" s="84">
        <f>IF(INDEX(Overview!$C$8:$C$33,MATCH('OS&amp;E_FF&amp;E'!A76,Overview!$A$8:$A$33,0))=0,0,1)</f>
        <v>0</v>
      </c>
      <c r="C76" s="13" t="s">
        <v>187</v>
      </c>
      <c r="D76" s="13" t="s">
        <v>176</v>
      </c>
      <c r="E76" s="13">
        <v>0</v>
      </c>
      <c r="F76" s="39" t="s">
        <v>177</v>
      </c>
      <c r="G76" s="50">
        <f>36/3</f>
        <v>12</v>
      </c>
      <c r="H76" s="41">
        <f t="shared" si="1"/>
        <v>0</v>
      </c>
      <c r="I76" s="39"/>
      <c r="J76" s="39"/>
      <c r="K76" s="39"/>
      <c r="L76" s="40" t="str">
        <f>INDEX(Overview!$B$8:$B$33,MATCH('OS&amp;E_FF&amp;E'!$A76,Overview!$A$8:$A$33,0))</f>
        <v>F&amp;B: Operating Systems</v>
      </c>
    </row>
    <row r="77" spans="1:12">
      <c r="A77" s="39" t="s">
        <v>20</v>
      </c>
      <c r="B77" s="84">
        <f>IF(INDEX(Overview!$C$8:$C$33,MATCH('OS&amp;E_FF&amp;E'!A77,Overview!$A$8:$A$33,0))=0,0,1)</f>
        <v>0</v>
      </c>
      <c r="C77" s="13" t="s">
        <v>188</v>
      </c>
      <c r="D77" s="13" t="s">
        <v>176</v>
      </c>
      <c r="E77" s="13">
        <v>0</v>
      </c>
      <c r="F77" s="39" t="s">
        <v>177</v>
      </c>
      <c r="G77" s="50">
        <v>0</v>
      </c>
      <c r="H77" s="41">
        <f t="shared" si="1"/>
        <v>0</v>
      </c>
      <c r="I77" s="39"/>
      <c r="J77" s="39"/>
      <c r="K77" s="39"/>
      <c r="L77" s="40" t="str">
        <f>INDEX(Overview!$B$8:$B$33,MATCH('OS&amp;E_FF&amp;E'!$A77,Overview!$A$8:$A$33,0))</f>
        <v>F&amp;B: Operating Systems</v>
      </c>
    </row>
    <row r="78" spans="1:12">
      <c r="A78" s="39" t="s">
        <v>20</v>
      </c>
      <c r="B78" s="84">
        <f>IF(INDEX(Overview!$C$8:$C$33,MATCH('OS&amp;E_FF&amp;E'!A78,Overview!$A$8:$A$33,0))=0,0,1)</f>
        <v>0</v>
      </c>
      <c r="C78" s="13" t="s">
        <v>189</v>
      </c>
      <c r="D78" s="13" t="s">
        <v>176</v>
      </c>
      <c r="E78" s="13">
        <v>0</v>
      </c>
      <c r="F78" s="39" t="s">
        <v>177</v>
      </c>
      <c r="G78" s="50">
        <f>12.5/3</f>
        <v>4.166666666666667</v>
      </c>
      <c r="H78" s="41">
        <f t="shared" si="1"/>
        <v>0</v>
      </c>
      <c r="I78" s="39"/>
      <c r="J78" s="39"/>
      <c r="K78" s="39"/>
      <c r="L78" s="40" t="str">
        <f>INDEX(Overview!$B$8:$B$33,MATCH('OS&amp;E_FF&amp;E'!$A78,Overview!$A$8:$A$33,0))</f>
        <v>F&amp;B: Operating Systems</v>
      </c>
    </row>
    <row r="79" spans="1:12">
      <c r="A79" s="39" t="s">
        <v>22</v>
      </c>
      <c r="B79" s="84">
        <f>IF(INDEX(Overview!$C$8:$C$33,MATCH('OS&amp;E_FF&amp;E'!A79,Overview!$A$8:$A$33,0))=0,0,1)</f>
        <v>0</v>
      </c>
      <c r="C79" s="13" t="s">
        <v>190</v>
      </c>
      <c r="D79" s="13" t="s">
        <v>191</v>
      </c>
      <c r="E79" s="13">
        <v>150</v>
      </c>
      <c r="F79" s="39"/>
      <c r="G79" s="50">
        <v>12.6</v>
      </c>
      <c r="H79" s="41">
        <f t="shared" si="1"/>
        <v>1890</v>
      </c>
      <c r="I79" s="39"/>
      <c r="J79" s="39"/>
      <c r="K79" s="39"/>
      <c r="L79" s="40" t="str">
        <f>INDEX(Overview!$B$8:$B$33,MATCH('OS&amp;E_FF&amp;E'!$A79,Overview!$A$8:$A$33,0))</f>
        <v>F&amp;B: Operating Equipment F&amp;B</v>
      </c>
    </row>
    <row r="80" spans="1:12">
      <c r="A80" s="39" t="s">
        <v>22</v>
      </c>
      <c r="B80" s="84">
        <f>IF(INDEX(Overview!$C$8:$C$33,MATCH('OS&amp;E_FF&amp;E'!A80,Overview!$A$8:$A$33,0))=0,0,1)</f>
        <v>0</v>
      </c>
      <c r="C80" s="13" t="s">
        <v>192</v>
      </c>
      <c r="D80" s="13" t="s">
        <v>191</v>
      </c>
      <c r="E80" s="13">
        <v>200</v>
      </c>
      <c r="F80" s="39"/>
      <c r="G80" s="50">
        <v>15.96</v>
      </c>
      <c r="H80" s="41">
        <f t="shared" si="1"/>
        <v>3192</v>
      </c>
      <c r="I80" s="39"/>
      <c r="J80" s="39"/>
      <c r="K80" s="39"/>
      <c r="L80" s="40" t="str">
        <f>INDEX(Overview!$B$8:$B$33,MATCH('OS&amp;E_FF&amp;E'!$A80,Overview!$A$8:$A$33,0))</f>
        <v>F&amp;B: Operating Equipment F&amp;B</v>
      </c>
    </row>
    <row r="81" spans="1:12">
      <c r="A81" s="39" t="s">
        <v>22</v>
      </c>
      <c r="B81" s="84">
        <f>IF(INDEX(Overview!$C$8:$C$33,MATCH('OS&amp;E_FF&amp;E'!A81,Overview!$A$8:$A$33,0))=0,0,1)</f>
        <v>0</v>
      </c>
      <c r="C81" s="13" t="s">
        <v>193</v>
      </c>
      <c r="D81" s="13" t="s">
        <v>191</v>
      </c>
      <c r="E81" s="13">
        <v>150</v>
      </c>
      <c r="F81" s="39"/>
      <c r="G81" s="50">
        <v>17.559999999999999</v>
      </c>
      <c r="H81" s="41">
        <f t="shared" si="1"/>
        <v>2634</v>
      </c>
      <c r="I81" s="39"/>
      <c r="J81" s="39"/>
      <c r="K81" s="39"/>
      <c r="L81" s="40" t="str">
        <f>INDEX(Overview!$B$8:$B$33,MATCH('OS&amp;E_FF&amp;E'!$A81,Overview!$A$8:$A$33,0))</f>
        <v>F&amp;B: Operating Equipment F&amp;B</v>
      </c>
    </row>
    <row r="82" spans="1:12">
      <c r="A82" s="39" t="s">
        <v>22</v>
      </c>
      <c r="B82" s="84">
        <f>IF(INDEX(Overview!$C$8:$C$33,MATCH('OS&amp;E_FF&amp;E'!A82,Overview!$A$8:$A$33,0))=0,0,1)</f>
        <v>0</v>
      </c>
      <c r="C82" s="13" t="s">
        <v>194</v>
      </c>
      <c r="D82" s="13" t="s">
        <v>191</v>
      </c>
      <c r="E82" s="13">
        <v>25</v>
      </c>
      <c r="F82" s="39"/>
      <c r="G82" s="50">
        <v>23.35</v>
      </c>
      <c r="H82" s="41">
        <f t="shared" si="1"/>
        <v>583.75</v>
      </c>
      <c r="I82" s="39"/>
      <c r="J82" s="39"/>
      <c r="K82" s="39"/>
      <c r="L82" s="40" t="str">
        <f>INDEX(Overview!$B$8:$B$33,MATCH('OS&amp;E_FF&amp;E'!$A82,Overview!$A$8:$A$33,0))</f>
        <v>F&amp;B: Operating Equipment F&amp;B</v>
      </c>
    </row>
    <row r="83" spans="1:12">
      <c r="A83" s="39" t="s">
        <v>22</v>
      </c>
      <c r="B83" s="84">
        <f>IF(INDEX(Overview!$C$8:$C$33,MATCH('OS&amp;E_FF&amp;E'!A83,Overview!$A$8:$A$33,0))=0,0,1)</f>
        <v>0</v>
      </c>
      <c r="C83" s="13" t="s">
        <v>195</v>
      </c>
      <c r="D83" s="13" t="s">
        <v>191</v>
      </c>
      <c r="E83" s="13">
        <v>75</v>
      </c>
      <c r="F83" s="39"/>
      <c r="G83" s="50">
        <v>4.76</v>
      </c>
      <c r="H83" s="41">
        <f t="shared" si="1"/>
        <v>357</v>
      </c>
      <c r="I83" s="39"/>
      <c r="J83" s="39"/>
      <c r="K83" s="39"/>
      <c r="L83" s="40" t="str">
        <f>INDEX(Overview!$B$8:$B$33,MATCH('OS&amp;E_FF&amp;E'!$A83,Overview!$A$8:$A$33,0))</f>
        <v>F&amp;B: Operating Equipment F&amp;B</v>
      </c>
    </row>
    <row r="84" spans="1:12">
      <c r="A84" s="39" t="s">
        <v>22</v>
      </c>
      <c r="B84" s="84">
        <f>IF(INDEX(Overview!$C$8:$C$33,MATCH('OS&amp;E_FF&amp;E'!A84,Overview!$A$8:$A$33,0))=0,0,1)</f>
        <v>0</v>
      </c>
      <c r="C84" s="13" t="s">
        <v>196</v>
      </c>
      <c r="D84" s="13" t="s">
        <v>191</v>
      </c>
      <c r="E84" s="13">
        <v>150</v>
      </c>
      <c r="F84" s="39"/>
      <c r="G84" s="50">
        <v>7.96</v>
      </c>
      <c r="H84" s="41">
        <f t="shared" si="1"/>
        <v>1194</v>
      </c>
      <c r="I84" s="39"/>
      <c r="J84" s="39"/>
      <c r="K84" s="39"/>
      <c r="L84" s="40" t="str">
        <f>INDEX(Overview!$B$8:$B$33,MATCH('OS&amp;E_FF&amp;E'!$A84,Overview!$A$8:$A$33,0))</f>
        <v>F&amp;B: Operating Equipment F&amp;B</v>
      </c>
    </row>
    <row r="85" spans="1:12">
      <c r="A85" s="39" t="s">
        <v>22</v>
      </c>
      <c r="B85" s="84">
        <f>IF(INDEX(Overview!$C$8:$C$33,MATCH('OS&amp;E_FF&amp;E'!A85,Overview!$A$8:$A$33,0))=0,0,1)</f>
        <v>0</v>
      </c>
      <c r="C85" s="13" t="s">
        <v>197</v>
      </c>
      <c r="D85" s="13" t="s">
        <v>191</v>
      </c>
      <c r="E85" s="13">
        <v>200</v>
      </c>
      <c r="F85" s="39"/>
      <c r="G85" s="50">
        <v>16</v>
      </c>
      <c r="H85" s="41">
        <f t="shared" si="1"/>
        <v>3200</v>
      </c>
      <c r="I85" s="39"/>
      <c r="J85" s="39"/>
      <c r="K85" s="39"/>
      <c r="L85" s="40" t="str">
        <f>INDEX(Overview!$B$8:$B$33,MATCH('OS&amp;E_FF&amp;E'!$A85,Overview!$A$8:$A$33,0))</f>
        <v>F&amp;B: Operating Equipment F&amp;B</v>
      </c>
    </row>
    <row r="86" spans="1:12">
      <c r="A86" s="39" t="s">
        <v>22</v>
      </c>
      <c r="B86" s="84">
        <f>IF(INDEX(Overview!$C$8:$C$33,MATCH('OS&amp;E_FF&amp;E'!A86,Overview!$A$8:$A$33,0))=0,0,1)</f>
        <v>0</v>
      </c>
      <c r="C86" s="13" t="s">
        <v>198</v>
      </c>
      <c r="D86" s="13" t="s">
        <v>191</v>
      </c>
      <c r="E86" s="13">
        <v>75</v>
      </c>
      <c r="F86" s="39"/>
      <c r="G86" s="50">
        <v>2.08</v>
      </c>
      <c r="H86" s="41">
        <f t="shared" si="1"/>
        <v>156</v>
      </c>
      <c r="I86" s="39"/>
      <c r="J86" s="39"/>
      <c r="K86" s="39"/>
      <c r="L86" s="40" t="str">
        <f>INDEX(Overview!$B$8:$B$33,MATCH('OS&amp;E_FF&amp;E'!$A86,Overview!$A$8:$A$33,0))</f>
        <v>F&amp;B: Operating Equipment F&amp;B</v>
      </c>
    </row>
    <row r="87" spans="1:12">
      <c r="A87" s="39" t="s">
        <v>22</v>
      </c>
      <c r="B87" s="84">
        <f>IF(INDEX(Overview!$C$8:$C$33,MATCH('OS&amp;E_FF&amp;E'!A87,Overview!$A$8:$A$33,0))=0,0,1)</f>
        <v>0</v>
      </c>
      <c r="C87" s="13" t="s">
        <v>199</v>
      </c>
      <c r="D87" s="13" t="s">
        <v>191</v>
      </c>
      <c r="E87" s="13">
        <v>15</v>
      </c>
      <c r="F87" s="39"/>
      <c r="G87" s="50">
        <v>26.9</v>
      </c>
      <c r="H87" s="41">
        <f t="shared" si="1"/>
        <v>403.5</v>
      </c>
      <c r="I87" s="39"/>
      <c r="J87" s="39"/>
      <c r="K87" s="39"/>
      <c r="L87" s="40" t="str">
        <f>INDEX(Overview!$B$8:$B$33,MATCH('OS&amp;E_FF&amp;E'!$A87,Overview!$A$8:$A$33,0))</f>
        <v>F&amp;B: Operating Equipment F&amp;B</v>
      </c>
    </row>
    <row r="88" spans="1:12">
      <c r="A88" s="39" t="s">
        <v>22</v>
      </c>
      <c r="B88" s="84">
        <f>IF(INDEX(Overview!$C$8:$C$33,MATCH('OS&amp;E_FF&amp;E'!A88,Overview!$A$8:$A$33,0))=0,0,1)</f>
        <v>0</v>
      </c>
      <c r="C88" s="13" t="s">
        <v>200</v>
      </c>
      <c r="D88" s="13" t="s">
        <v>191</v>
      </c>
      <c r="E88" s="13">
        <v>150</v>
      </c>
      <c r="F88" s="39"/>
      <c r="G88" s="50">
        <v>4.09</v>
      </c>
      <c r="H88" s="41">
        <f t="shared" si="1"/>
        <v>613.5</v>
      </c>
      <c r="I88" s="39"/>
      <c r="J88" s="39"/>
      <c r="K88" s="39"/>
      <c r="L88" s="40" t="str">
        <f>INDEX(Overview!$B$8:$B$33,MATCH('OS&amp;E_FF&amp;E'!$A88,Overview!$A$8:$A$33,0))</f>
        <v>F&amp;B: Operating Equipment F&amp;B</v>
      </c>
    </row>
    <row r="89" spans="1:12">
      <c r="A89" s="39" t="s">
        <v>22</v>
      </c>
      <c r="B89" s="84">
        <f>IF(INDEX(Overview!$C$8:$C$33,MATCH('OS&amp;E_FF&amp;E'!A89,Overview!$A$8:$A$33,0))=0,0,1)</f>
        <v>0</v>
      </c>
      <c r="C89" s="13" t="s">
        <v>201</v>
      </c>
      <c r="D89" s="13" t="s">
        <v>202</v>
      </c>
      <c r="E89" s="13">
        <v>250</v>
      </c>
      <c r="F89" s="39"/>
      <c r="G89" s="50">
        <v>1.67</v>
      </c>
      <c r="H89" s="41">
        <f t="shared" si="1"/>
        <v>417.5</v>
      </c>
      <c r="I89" s="39"/>
      <c r="J89" s="39"/>
      <c r="K89" s="39"/>
      <c r="L89" s="40" t="str">
        <f>INDEX(Overview!$B$8:$B$33,MATCH('OS&amp;E_FF&amp;E'!$A89,Overview!$A$8:$A$33,0))</f>
        <v>F&amp;B: Operating Equipment F&amp;B</v>
      </c>
    </row>
    <row r="90" spans="1:12">
      <c r="A90" s="39" t="s">
        <v>22</v>
      </c>
      <c r="B90" s="84">
        <f>IF(INDEX(Overview!$C$8:$C$33,MATCH('OS&amp;E_FF&amp;E'!A90,Overview!$A$8:$A$33,0))=0,0,1)</f>
        <v>0</v>
      </c>
      <c r="C90" s="13" t="s">
        <v>203</v>
      </c>
      <c r="D90" s="13" t="s">
        <v>202</v>
      </c>
      <c r="E90" s="13">
        <v>250</v>
      </c>
      <c r="F90" s="39"/>
      <c r="G90" s="50">
        <v>2.42</v>
      </c>
      <c r="H90" s="41">
        <f t="shared" si="1"/>
        <v>605</v>
      </c>
      <c r="I90" s="39"/>
      <c r="J90" s="39"/>
      <c r="K90" s="39"/>
      <c r="L90" s="40" t="str">
        <f>INDEX(Overview!$B$8:$B$33,MATCH('OS&amp;E_FF&amp;E'!$A90,Overview!$A$8:$A$33,0))</f>
        <v>F&amp;B: Operating Equipment F&amp;B</v>
      </c>
    </row>
    <row r="91" spans="1:12">
      <c r="A91" s="39" t="s">
        <v>22</v>
      </c>
      <c r="B91" s="84">
        <f>IF(INDEX(Overview!$C$8:$C$33,MATCH('OS&amp;E_FF&amp;E'!A91,Overview!$A$8:$A$33,0))=0,0,1)</f>
        <v>0</v>
      </c>
      <c r="C91" s="13" t="s">
        <v>204</v>
      </c>
      <c r="D91" s="13" t="s">
        <v>202</v>
      </c>
      <c r="E91" s="13">
        <v>50</v>
      </c>
      <c r="F91" s="39"/>
      <c r="G91" s="50">
        <v>1.1399999999999999</v>
      </c>
      <c r="H91" s="41">
        <f t="shared" si="1"/>
        <v>56.999999999999993</v>
      </c>
      <c r="I91" s="39"/>
      <c r="J91" s="39"/>
      <c r="K91" s="39"/>
      <c r="L91" s="40" t="str">
        <f>INDEX(Overview!$B$8:$B$33,MATCH('OS&amp;E_FF&amp;E'!$A91,Overview!$A$8:$A$33,0))</f>
        <v>F&amp;B: Operating Equipment F&amp;B</v>
      </c>
    </row>
    <row r="92" spans="1:12">
      <c r="A92" s="39" t="s">
        <v>22</v>
      </c>
      <c r="B92" s="84">
        <f>IF(INDEX(Overview!$C$8:$C$33,MATCH('OS&amp;E_FF&amp;E'!A92,Overview!$A$8:$A$33,0))=0,0,1)</f>
        <v>0</v>
      </c>
      <c r="C92" s="13" t="s">
        <v>205</v>
      </c>
      <c r="D92" s="13" t="s">
        <v>202</v>
      </c>
      <c r="E92" s="13">
        <v>200</v>
      </c>
      <c r="F92" s="39"/>
      <c r="G92" s="50">
        <v>1.47</v>
      </c>
      <c r="H92" s="41">
        <f t="shared" si="1"/>
        <v>294</v>
      </c>
      <c r="I92" s="39"/>
      <c r="J92" s="39"/>
      <c r="K92" s="39"/>
      <c r="L92" s="40" t="str">
        <f>INDEX(Overview!$B$8:$B$33,MATCH('OS&amp;E_FF&amp;E'!$A92,Overview!$A$8:$A$33,0))</f>
        <v>F&amp;B: Operating Equipment F&amp;B</v>
      </c>
    </row>
    <row r="93" spans="1:12">
      <c r="A93" s="39" t="s">
        <v>22</v>
      </c>
      <c r="B93" s="84">
        <f>IF(INDEX(Overview!$C$8:$C$33,MATCH('OS&amp;E_FF&amp;E'!A93,Overview!$A$8:$A$33,0))=0,0,1)</f>
        <v>0</v>
      </c>
      <c r="C93" s="13" t="s">
        <v>206</v>
      </c>
      <c r="D93" s="13" t="s">
        <v>202</v>
      </c>
      <c r="E93" s="13">
        <v>250</v>
      </c>
      <c r="F93" s="39"/>
      <c r="G93" s="50">
        <v>2.42</v>
      </c>
      <c r="H93" s="41">
        <f t="shared" si="1"/>
        <v>605</v>
      </c>
      <c r="I93" s="39"/>
      <c r="J93" s="39"/>
      <c r="K93" s="39"/>
      <c r="L93" s="40" t="str">
        <f>INDEX(Overview!$B$8:$B$33,MATCH('OS&amp;E_FF&amp;E'!$A93,Overview!$A$8:$A$33,0))</f>
        <v>F&amp;B: Operating Equipment F&amp;B</v>
      </c>
    </row>
    <row r="94" spans="1:12">
      <c r="A94" s="39" t="s">
        <v>22</v>
      </c>
      <c r="B94" s="84">
        <f>IF(INDEX(Overview!$C$8:$C$33,MATCH('OS&amp;E_FF&amp;E'!A94,Overview!$A$8:$A$33,0))=0,0,1)</f>
        <v>0</v>
      </c>
      <c r="C94" s="13" t="s">
        <v>207</v>
      </c>
      <c r="D94" s="13" t="s">
        <v>202</v>
      </c>
      <c r="E94" s="13">
        <v>150</v>
      </c>
      <c r="F94" s="39"/>
      <c r="G94" s="50">
        <v>1.72</v>
      </c>
      <c r="H94" s="41">
        <f t="shared" si="1"/>
        <v>258</v>
      </c>
      <c r="I94" s="39"/>
      <c r="J94" s="39"/>
      <c r="K94" s="39"/>
      <c r="L94" s="40" t="str">
        <f>INDEX(Overview!$B$8:$B$33,MATCH('OS&amp;E_FF&amp;E'!$A94,Overview!$A$8:$A$33,0))</f>
        <v>F&amp;B: Operating Equipment F&amp;B</v>
      </c>
    </row>
    <row r="95" spans="1:12">
      <c r="A95" s="39" t="s">
        <v>22</v>
      </c>
      <c r="B95" s="84">
        <f>IF(INDEX(Overview!$C$8:$C$33,MATCH('OS&amp;E_FF&amp;E'!A95,Overview!$A$8:$A$33,0))=0,0,1)</f>
        <v>0</v>
      </c>
      <c r="C95" s="13" t="s">
        <v>208</v>
      </c>
      <c r="D95" s="13" t="s">
        <v>202</v>
      </c>
      <c r="E95" s="13">
        <v>250</v>
      </c>
      <c r="F95" s="39"/>
      <c r="G95" s="50">
        <v>1.89</v>
      </c>
      <c r="H95" s="41">
        <f t="shared" si="1"/>
        <v>472.5</v>
      </c>
      <c r="I95" s="39"/>
      <c r="J95" s="39"/>
      <c r="K95" s="39"/>
      <c r="L95" s="40" t="str">
        <f>INDEX(Overview!$B$8:$B$33,MATCH('OS&amp;E_FF&amp;E'!$A95,Overview!$A$8:$A$33,0))</f>
        <v>F&amp;B: Operating Equipment F&amp;B</v>
      </c>
    </row>
    <row r="96" spans="1:12">
      <c r="A96" s="39" t="s">
        <v>22</v>
      </c>
      <c r="B96" s="84">
        <f>IF(INDEX(Overview!$C$8:$C$33,MATCH('OS&amp;E_FF&amp;E'!A96,Overview!$A$8:$A$33,0))=0,0,1)</f>
        <v>0</v>
      </c>
      <c r="C96" s="13" t="s">
        <v>209</v>
      </c>
      <c r="D96" s="13" t="s">
        <v>210</v>
      </c>
      <c r="E96" s="13">
        <v>250</v>
      </c>
      <c r="F96" s="39"/>
      <c r="G96" s="50">
        <v>1.91</v>
      </c>
      <c r="H96" s="41">
        <f t="shared" si="1"/>
        <v>477.5</v>
      </c>
      <c r="I96" s="39"/>
      <c r="J96" s="39"/>
      <c r="K96" s="39"/>
      <c r="L96" s="40" t="str">
        <f>INDEX(Overview!$B$8:$B$33,MATCH('OS&amp;E_FF&amp;E'!$A96,Overview!$A$8:$A$33,0))</f>
        <v>F&amp;B: Operating Equipment F&amp;B</v>
      </c>
    </row>
    <row r="97" spans="1:12">
      <c r="A97" s="39" t="s">
        <v>22</v>
      </c>
      <c r="B97" s="84">
        <f>IF(INDEX(Overview!$C$8:$C$33,MATCH('OS&amp;E_FF&amp;E'!A97,Overview!$A$8:$A$33,0))=0,0,1)</f>
        <v>0</v>
      </c>
      <c r="C97" s="13" t="s">
        <v>211</v>
      </c>
      <c r="D97" s="13" t="s">
        <v>210</v>
      </c>
      <c r="E97" s="13">
        <v>150</v>
      </c>
      <c r="F97" s="39"/>
      <c r="G97" s="50">
        <v>1.98</v>
      </c>
      <c r="H97" s="41">
        <f t="shared" si="1"/>
        <v>297</v>
      </c>
      <c r="I97" s="39"/>
      <c r="J97" s="39"/>
      <c r="K97" s="39"/>
      <c r="L97" s="40" t="str">
        <f>INDEX(Overview!$B$8:$B$33,MATCH('OS&amp;E_FF&amp;E'!$A97,Overview!$A$8:$A$33,0))</f>
        <v>F&amp;B: Operating Equipment F&amp;B</v>
      </c>
    </row>
    <row r="98" spans="1:12">
      <c r="A98" s="39" t="s">
        <v>22</v>
      </c>
      <c r="B98" s="84">
        <f>IF(INDEX(Overview!$C$8:$C$33,MATCH('OS&amp;E_FF&amp;E'!A98,Overview!$A$8:$A$33,0))=0,0,1)</f>
        <v>0</v>
      </c>
      <c r="C98" s="13" t="s">
        <v>212</v>
      </c>
      <c r="D98" s="13" t="s">
        <v>210</v>
      </c>
      <c r="E98" s="13">
        <v>75</v>
      </c>
      <c r="F98" s="39"/>
      <c r="G98" s="50">
        <v>3.44</v>
      </c>
      <c r="H98" s="41">
        <f t="shared" si="1"/>
        <v>258</v>
      </c>
      <c r="I98" s="39"/>
      <c r="J98" s="39"/>
      <c r="K98" s="39"/>
      <c r="L98" s="40" t="str">
        <f>INDEX(Overview!$B$8:$B$33,MATCH('OS&amp;E_FF&amp;E'!$A98,Overview!$A$8:$A$33,0))</f>
        <v>F&amp;B: Operating Equipment F&amp;B</v>
      </c>
    </row>
    <row r="99" spans="1:12">
      <c r="A99" s="39" t="s">
        <v>22</v>
      </c>
      <c r="B99" s="84">
        <f>IF(INDEX(Overview!$C$8:$C$33,MATCH('OS&amp;E_FF&amp;E'!A99,Overview!$A$8:$A$33,0))=0,0,1)</f>
        <v>0</v>
      </c>
      <c r="C99" s="13" t="s">
        <v>213</v>
      </c>
      <c r="D99" s="13" t="s">
        <v>210</v>
      </c>
      <c r="E99" s="13">
        <v>150</v>
      </c>
      <c r="F99" s="39"/>
      <c r="G99" s="50">
        <v>1.93</v>
      </c>
      <c r="H99" s="41">
        <f t="shared" si="1"/>
        <v>289.5</v>
      </c>
      <c r="I99" s="39"/>
      <c r="J99" s="39"/>
      <c r="K99" s="39"/>
      <c r="L99" s="40" t="str">
        <f>INDEX(Overview!$B$8:$B$33,MATCH('OS&amp;E_FF&amp;E'!$A99,Overview!$A$8:$A$33,0))</f>
        <v>F&amp;B: Operating Equipment F&amp;B</v>
      </c>
    </row>
    <row r="100" spans="1:12">
      <c r="A100" s="39" t="s">
        <v>22</v>
      </c>
      <c r="B100" s="84">
        <f>IF(INDEX(Overview!$C$8:$C$33,MATCH('OS&amp;E_FF&amp;E'!A100,Overview!$A$8:$A$33,0))=0,0,1)</f>
        <v>0</v>
      </c>
      <c r="C100" s="13" t="s">
        <v>214</v>
      </c>
      <c r="D100" s="13" t="s">
        <v>210</v>
      </c>
      <c r="E100" s="13">
        <v>200</v>
      </c>
      <c r="F100" s="39"/>
      <c r="G100" s="50">
        <v>3.9</v>
      </c>
      <c r="H100" s="41">
        <f t="shared" si="1"/>
        <v>780</v>
      </c>
      <c r="I100" s="39"/>
      <c r="J100" s="39"/>
      <c r="K100" s="39"/>
      <c r="L100" s="40" t="str">
        <f>INDEX(Overview!$B$8:$B$33,MATCH('OS&amp;E_FF&amp;E'!$A100,Overview!$A$8:$A$33,0))</f>
        <v>F&amp;B: Operating Equipment F&amp;B</v>
      </c>
    </row>
    <row r="101" spans="1:12">
      <c r="A101" s="39" t="s">
        <v>22</v>
      </c>
      <c r="B101" s="84">
        <f>IF(INDEX(Overview!$C$8:$C$33,MATCH('OS&amp;E_FF&amp;E'!A101,Overview!$A$8:$A$33,0))=0,0,1)</f>
        <v>0</v>
      </c>
      <c r="C101" s="13" t="s">
        <v>215</v>
      </c>
      <c r="D101" s="13" t="s">
        <v>210</v>
      </c>
      <c r="E101" s="13">
        <v>150</v>
      </c>
      <c r="F101" s="39"/>
      <c r="G101" s="50">
        <v>5.6</v>
      </c>
      <c r="H101" s="41">
        <f t="shared" si="1"/>
        <v>840</v>
      </c>
      <c r="I101" s="39"/>
      <c r="J101" s="39"/>
      <c r="K101" s="39"/>
      <c r="L101" s="40" t="str">
        <f>INDEX(Overview!$B$8:$B$33,MATCH('OS&amp;E_FF&amp;E'!$A101,Overview!$A$8:$A$33,0))</f>
        <v>F&amp;B: Operating Equipment F&amp;B</v>
      </c>
    </row>
    <row r="102" spans="1:12">
      <c r="A102" s="39" t="s">
        <v>22</v>
      </c>
      <c r="B102" s="84">
        <f>IF(INDEX(Overview!$C$8:$C$33,MATCH('OS&amp;E_FF&amp;E'!A102,Overview!$A$8:$A$33,0))=0,0,1)</f>
        <v>0</v>
      </c>
      <c r="C102" s="13" t="s">
        <v>216</v>
      </c>
      <c r="D102" s="13" t="s">
        <v>210</v>
      </c>
      <c r="E102" s="13">
        <v>60</v>
      </c>
      <c r="F102" s="39"/>
      <c r="G102" s="50">
        <v>21.92</v>
      </c>
      <c r="H102" s="41">
        <f t="shared" si="1"/>
        <v>1315.2</v>
      </c>
      <c r="I102" s="39"/>
      <c r="J102" s="39"/>
      <c r="K102" s="39"/>
      <c r="L102" s="40" t="str">
        <f>INDEX(Overview!$B$8:$B$33,MATCH('OS&amp;E_FF&amp;E'!$A102,Overview!$A$8:$A$33,0))</f>
        <v>F&amp;B: Operating Equipment F&amp;B</v>
      </c>
    </row>
    <row r="103" spans="1:12">
      <c r="A103" s="39" t="s">
        <v>22</v>
      </c>
      <c r="B103" s="84">
        <f>IF(INDEX(Overview!$C$8:$C$33,MATCH('OS&amp;E_FF&amp;E'!A103,Overview!$A$8:$A$33,0))=0,0,1)</f>
        <v>0</v>
      </c>
      <c r="C103" s="13" t="s">
        <v>217</v>
      </c>
      <c r="D103" s="13" t="s">
        <v>210</v>
      </c>
      <c r="E103" s="13">
        <v>90</v>
      </c>
      <c r="F103" s="39"/>
      <c r="G103" s="50">
        <v>4.4400000000000004</v>
      </c>
      <c r="H103" s="41">
        <f t="shared" si="1"/>
        <v>399.6</v>
      </c>
      <c r="I103" s="39"/>
      <c r="J103" s="39"/>
      <c r="K103" s="39"/>
      <c r="L103" s="40" t="str">
        <f>INDEX(Overview!$B$8:$B$33,MATCH('OS&amp;E_FF&amp;E'!$A103,Overview!$A$8:$A$33,0))</f>
        <v>F&amp;B: Operating Equipment F&amp;B</v>
      </c>
    </row>
    <row r="104" spans="1:12">
      <c r="A104" s="39" t="s">
        <v>22</v>
      </c>
      <c r="B104" s="84">
        <f>IF(INDEX(Overview!$C$8:$C$33,MATCH('OS&amp;E_FF&amp;E'!A104,Overview!$A$8:$A$33,0))=0,0,1)</f>
        <v>0</v>
      </c>
      <c r="C104" s="13" t="s">
        <v>218</v>
      </c>
      <c r="D104" s="13" t="s">
        <v>210</v>
      </c>
      <c r="E104" s="13">
        <v>75</v>
      </c>
      <c r="F104" s="39"/>
      <c r="G104" s="50">
        <v>3.72</v>
      </c>
      <c r="H104" s="41">
        <f t="shared" si="1"/>
        <v>279</v>
      </c>
      <c r="I104" s="39"/>
      <c r="J104" s="39"/>
      <c r="K104" s="39"/>
      <c r="L104" s="40" t="str">
        <f>INDEX(Overview!$B$8:$B$33,MATCH('OS&amp;E_FF&amp;E'!$A104,Overview!$A$8:$A$33,0))</f>
        <v>F&amp;B: Operating Equipment F&amp;B</v>
      </c>
    </row>
    <row r="105" spans="1:12">
      <c r="A105" s="39" t="s">
        <v>22</v>
      </c>
      <c r="B105" s="84">
        <f>IF(INDEX(Overview!$C$8:$C$33,MATCH('OS&amp;E_FF&amp;E'!A105,Overview!$A$8:$A$33,0))=0,0,1)</f>
        <v>0</v>
      </c>
      <c r="C105" s="13" t="s">
        <v>219</v>
      </c>
      <c r="D105" s="13" t="s">
        <v>210</v>
      </c>
      <c r="E105" s="13">
        <v>25</v>
      </c>
      <c r="F105" s="39"/>
      <c r="G105" s="50">
        <v>1.58</v>
      </c>
      <c r="H105" s="41">
        <f t="shared" si="1"/>
        <v>39.5</v>
      </c>
      <c r="I105" s="39"/>
      <c r="J105" s="39"/>
      <c r="K105" s="39"/>
      <c r="L105" s="40" t="str">
        <f>INDEX(Overview!$B$8:$B$33,MATCH('OS&amp;E_FF&amp;E'!$A105,Overview!$A$8:$A$33,0))</f>
        <v>F&amp;B: Operating Equipment F&amp;B</v>
      </c>
    </row>
    <row r="106" spans="1:12">
      <c r="A106" s="39" t="s">
        <v>22</v>
      </c>
      <c r="B106" s="84">
        <f>IF(INDEX(Overview!$C$8:$C$33,MATCH('OS&amp;E_FF&amp;E'!A106,Overview!$A$8:$A$33,0))=0,0,1)</f>
        <v>0</v>
      </c>
      <c r="C106" s="13" t="s">
        <v>220</v>
      </c>
      <c r="D106" s="13" t="s">
        <v>210</v>
      </c>
      <c r="E106" s="13">
        <v>250</v>
      </c>
      <c r="F106" s="39"/>
      <c r="G106" s="50">
        <v>1.25</v>
      </c>
      <c r="H106" s="41">
        <f t="shared" si="1"/>
        <v>312.5</v>
      </c>
      <c r="I106" s="39"/>
      <c r="J106" s="39"/>
      <c r="K106" s="39"/>
      <c r="L106" s="40" t="str">
        <f>INDEX(Overview!$B$8:$B$33,MATCH('OS&amp;E_FF&amp;E'!$A106,Overview!$A$8:$A$33,0))</f>
        <v>F&amp;B: Operating Equipment F&amp;B</v>
      </c>
    </row>
    <row r="107" spans="1:12">
      <c r="A107" s="39" t="s">
        <v>22</v>
      </c>
      <c r="B107" s="84">
        <f>IF(INDEX(Overview!$C$8:$C$33,MATCH('OS&amp;E_FF&amp;E'!A107,Overview!$A$8:$A$33,0))=0,0,1)</f>
        <v>0</v>
      </c>
      <c r="C107" s="13" t="s">
        <v>221</v>
      </c>
      <c r="D107" s="13" t="s">
        <v>210</v>
      </c>
      <c r="E107" s="13">
        <v>25</v>
      </c>
      <c r="F107" s="39"/>
      <c r="G107" s="50">
        <v>2.5</v>
      </c>
      <c r="H107" s="41">
        <f t="shared" si="1"/>
        <v>62.5</v>
      </c>
      <c r="I107" s="39"/>
      <c r="J107" s="39"/>
      <c r="K107" s="39"/>
      <c r="L107" s="40" t="str">
        <f>INDEX(Overview!$B$8:$B$33,MATCH('OS&amp;E_FF&amp;E'!$A107,Overview!$A$8:$A$33,0))</f>
        <v>F&amp;B: Operating Equipment F&amp;B</v>
      </c>
    </row>
    <row r="108" spans="1:12">
      <c r="A108" s="39" t="s">
        <v>22</v>
      </c>
      <c r="B108" s="84">
        <f>IF(INDEX(Overview!$C$8:$C$33,MATCH('OS&amp;E_FF&amp;E'!A108,Overview!$A$8:$A$33,0))=0,0,1)</f>
        <v>0</v>
      </c>
      <c r="C108" s="13" t="s">
        <v>222</v>
      </c>
      <c r="D108" s="13" t="s">
        <v>210</v>
      </c>
      <c r="E108" s="13">
        <v>25</v>
      </c>
      <c r="F108" s="39"/>
      <c r="G108" s="50">
        <v>1.62</v>
      </c>
      <c r="H108" s="41">
        <f t="shared" si="1"/>
        <v>40.5</v>
      </c>
      <c r="I108" s="39"/>
      <c r="J108" s="39"/>
      <c r="K108" s="39"/>
      <c r="L108" s="40" t="str">
        <f>INDEX(Overview!$B$8:$B$33,MATCH('OS&amp;E_FF&amp;E'!$A108,Overview!$A$8:$A$33,0))</f>
        <v>F&amp;B: Operating Equipment F&amp;B</v>
      </c>
    </row>
    <row r="109" spans="1:12">
      <c r="A109" s="39" t="s">
        <v>22</v>
      </c>
      <c r="B109" s="84">
        <f>IF(INDEX(Overview!$C$8:$C$33,MATCH('OS&amp;E_FF&amp;E'!A109,Overview!$A$8:$A$33,0))=0,0,1)</f>
        <v>0</v>
      </c>
      <c r="C109" s="13" t="s">
        <v>223</v>
      </c>
      <c r="D109" s="13" t="s">
        <v>210</v>
      </c>
      <c r="E109" s="13">
        <v>90</v>
      </c>
      <c r="F109" s="39"/>
      <c r="G109" s="50">
        <v>3.66</v>
      </c>
      <c r="H109" s="41">
        <f t="shared" si="1"/>
        <v>329.40000000000003</v>
      </c>
      <c r="I109" s="39"/>
      <c r="J109" s="39"/>
      <c r="K109" s="39"/>
      <c r="L109" s="40" t="str">
        <f>INDEX(Overview!$B$8:$B$33,MATCH('OS&amp;E_FF&amp;E'!$A109,Overview!$A$8:$A$33,0))</f>
        <v>F&amp;B: Operating Equipment F&amp;B</v>
      </c>
    </row>
    <row r="110" spans="1:12">
      <c r="A110" s="39" t="s">
        <v>22</v>
      </c>
      <c r="B110" s="84">
        <f>IF(INDEX(Overview!$C$8:$C$33,MATCH('OS&amp;E_FF&amp;E'!A110,Overview!$A$8:$A$33,0))=0,0,1)</f>
        <v>0</v>
      </c>
      <c r="C110" s="13" t="s">
        <v>224</v>
      </c>
      <c r="D110" s="13" t="s">
        <v>225</v>
      </c>
      <c r="E110" s="13">
        <v>8</v>
      </c>
      <c r="F110" s="39"/>
      <c r="G110" s="50">
        <v>17.899999999999999</v>
      </c>
      <c r="H110" s="41">
        <f t="shared" si="1"/>
        <v>143.19999999999999</v>
      </c>
      <c r="I110" s="39"/>
      <c r="J110" s="39"/>
      <c r="K110" s="39"/>
      <c r="L110" s="40" t="str">
        <f>INDEX(Overview!$B$8:$B$33,MATCH('OS&amp;E_FF&amp;E'!$A110,Overview!$A$8:$A$33,0))</f>
        <v>F&amp;B: Operating Equipment F&amp;B</v>
      </c>
    </row>
    <row r="111" spans="1:12">
      <c r="A111" s="39" t="s">
        <v>22</v>
      </c>
      <c r="B111" s="84">
        <f>IF(INDEX(Overview!$C$8:$C$33,MATCH('OS&amp;E_FF&amp;E'!A111,Overview!$A$8:$A$33,0))=0,0,1)</f>
        <v>0</v>
      </c>
      <c r="C111" s="13" t="s">
        <v>226</v>
      </c>
      <c r="D111" s="13" t="s">
        <v>225</v>
      </c>
      <c r="E111" s="13">
        <v>8</v>
      </c>
      <c r="F111" s="39"/>
      <c r="G111" s="50">
        <v>25.82</v>
      </c>
      <c r="H111" s="41">
        <f t="shared" si="1"/>
        <v>206.56</v>
      </c>
      <c r="I111" s="39"/>
      <c r="J111" s="39"/>
      <c r="K111" s="39"/>
      <c r="L111" s="40" t="str">
        <f>INDEX(Overview!$B$8:$B$33,MATCH('OS&amp;E_FF&amp;E'!$A111,Overview!$A$8:$A$33,0))</f>
        <v>F&amp;B: Operating Equipment F&amp;B</v>
      </c>
    </row>
    <row r="112" spans="1:12">
      <c r="A112" s="39" t="s">
        <v>22</v>
      </c>
      <c r="B112" s="84">
        <f>IF(INDEX(Overview!$C$8:$C$33,MATCH('OS&amp;E_FF&amp;E'!A112,Overview!$A$8:$A$33,0))=0,0,1)</f>
        <v>0</v>
      </c>
      <c r="C112" s="13" t="s">
        <v>227</v>
      </c>
      <c r="D112" s="13" t="s">
        <v>225</v>
      </c>
      <c r="E112" s="13">
        <v>4</v>
      </c>
      <c r="F112" s="39"/>
      <c r="G112" s="50">
        <v>20.66</v>
      </c>
      <c r="H112" s="41">
        <f t="shared" si="1"/>
        <v>82.64</v>
      </c>
      <c r="I112" s="39"/>
      <c r="J112" s="39"/>
      <c r="K112" s="39"/>
      <c r="L112" s="40" t="str">
        <f>INDEX(Overview!$B$8:$B$33,MATCH('OS&amp;E_FF&amp;E'!$A112,Overview!$A$8:$A$33,0))</f>
        <v>F&amp;B: Operating Equipment F&amp;B</v>
      </c>
    </row>
    <row r="113" spans="1:12">
      <c r="A113" s="39" t="s">
        <v>22</v>
      </c>
      <c r="B113" s="84">
        <f>IF(INDEX(Overview!$C$8:$C$33,MATCH('OS&amp;E_FF&amp;E'!A113,Overview!$A$8:$A$33,0))=0,0,1)</f>
        <v>0</v>
      </c>
      <c r="C113" s="13" t="s">
        <v>228</v>
      </c>
      <c r="D113" s="13" t="s">
        <v>225</v>
      </c>
      <c r="E113" s="13">
        <v>20</v>
      </c>
      <c r="F113" s="39"/>
      <c r="G113" s="50">
        <v>8.41</v>
      </c>
      <c r="H113" s="41">
        <f t="shared" si="1"/>
        <v>168.2</v>
      </c>
      <c r="I113" s="39"/>
      <c r="J113" s="39"/>
      <c r="K113" s="39"/>
      <c r="L113" s="40" t="str">
        <f>INDEX(Overview!$B$8:$B$33,MATCH('OS&amp;E_FF&amp;E'!$A113,Overview!$A$8:$A$33,0))</f>
        <v>F&amp;B: Operating Equipment F&amp;B</v>
      </c>
    </row>
    <row r="114" spans="1:12">
      <c r="A114" s="39" t="s">
        <v>22</v>
      </c>
      <c r="B114" s="84">
        <f>IF(INDEX(Overview!$C$8:$C$33,MATCH('OS&amp;E_FF&amp;E'!A114,Overview!$A$8:$A$33,0))=0,0,1)</f>
        <v>0</v>
      </c>
      <c r="C114" s="13" t="s">
        <v>229</v>
      </c>
      <c r="D114" s="13" t="s">
        <v>225</v>
      </c>
      <c r="E114" s="13">
        <v>2</v>
      </c>
      <c r="F114" s="39"/>
      <c r="G114" s="50">
        <v>91.23</v>
      </c>
      <c r="H114" s="41">
        <f t="shared" si="1"/>
        <v>182.46</v>
      </c>
      <c r="I114" s="39"/>
      <c r="J114" s="39"/>
      <c r="K114" s="39"/>
      <c r="L114" s="40" t="str">
        <f>INDEX(Overview!$B$8:$B$33,MATCH('OS&amp;E_FF&amp;E'!$A114,Overview!$A$8:$A$33,0))</f>
        <v>F&amp;B: Operating Equipment F&amp;B</v>
      </c>
    </row>
    <row r="115" spans="1:12">
      <c r="A115" s="39" t="s">
        <v>22</v>
      </c>
      <c r="B115" s="84">
        <f>IF(INDEX(Overview!$C$8:$C$33,MATCH('OS&amp;E_FF&amp;E'!A115,Overview!$A$8:$A$33,0))=0,0,1)</f>
        <v>0</v>
      </c>
      <c r="C115" s="13" t="s">
        <v>230</v>
      </c>
      <c r="D115" s="13" t="s">
        <v>225</v>
      </c>
      <c r="E115" s="13">
        <v>4</v>
      </c>
      <c r="F115" s="39"/>
      <c r="G115" s="50">
        <v>23.11</v>
      </c>
      <c r="H115" s="41">
        <f t="shared" si="1"/>
        <v>92.44</v>
      </c>
      <c r="I115" s="39"/>
      <c r="J115" s="39"/>
      <c r="K115" s="39"/>
      <c r="L115" s="40" t="str">
        <f>INDEX(Overview!$B$8:$B$33,MATCH('OS&amp;E_FF&amp;E'!$A115,Overview!$A$8:$A$33,0))</f>
        <v>F&amp;B: Operating Equipment F&amp;B</v>
      </c>
    </row>
    <row r="116" spans="1:12">
      <c r="A116" s="39" t="s">
        <v>22</v>
      </c>
      <c r="B116" s="84">
        <f>IF(INDEX(Overview!$C$8:$C$33,MATCH('OS&amp;E_FF&amp;E'!A116,Overview!$A$8:$A$33,0))=0,0,1)</f>
        <v>0</v>
      </c>
      <c r="C116" s="13" t="s">
        <v>231</v>
      </c>
      <c r="D116" s="13" t="s">
        <v>225</v>
      </c>
      <c r="E116" s="13">
        <v>2</v>
      </c>
      <c r="F116" s="39"/>
      <c r="G116" s="50">
        <v>152.74</v>
      </c>
      <c r="H116" s="41">
        <f t="shared" si="1"/>
        <v>305.48</v>
      </c>
      <c r="I116" s="39"/>
      <c r="J116" s="39"/>
      <c r="K116" s="39"/>
      <c r="L116" s="40" t="str">
        <f>INDEX(Overview!$B$8:$B$33,MATCH('OS&amp;E_FF&amp;E'!$A116,Overview!$A$8:$A$33,0))</f>
        <v>F&amp;B: Operating Equipment F&amp;B</v>
      </c>
    </row>
    <row r="117" spans="1:12">
      <c r="A117" s="39" t="s">
        <v>22</v>
      </c>
      <c r="B117" s="84">
        <f>IF(INDEX(Overview!$C$8:$C$33,MATCH('OS&amp;E_FF&amp;E'!A117,Overview!$A$8:$A$33,0))=0,0,1)</f>
        <v>0</v>
      </c>
      <c r="C117" s="13" t="s">
        <v>232</v>
      </c>
      <c r="D117" s="13" t="s">
        <v>225</v>
      </c>
      <c r="E117" s="13">
        <v>10</v>
      </c>
      <c r="F117" s="39"/>
      <c r="G117" s="50">
        <v>32.47</v>
      </c>
      <c r="H117" s="41">
        <f t="shared" si="1"/>
        <v>324.7</v>
      </c>
      <c r="I117" s="39"/>
      <c r="J117" s="39"/>
      <c r="K117" s="39"/>
      <c r="L117" s="40" t="str">
        <f>INDEX(Overview!$B$8:$B$33,MATCH('OS&amp;E_FF&amp;E'!$A117,Overview!$A$8:$A$33,0))</f>
        <v>F&amp;B: Operating Equipment F&amp;B</v>
      </c>
    </row>
    <row r="118" spans="1:12">
      <c r="A118" s="39" t="s">
        <v>22</v>
      </c>
      <c r="B118" s="84">
        <f>IF(INDEX(Overview!$C$8:$C$33,MATCH('OS&amp;E_FF&amp;E'!A118,Overview!$A$8:$A$33,0))=0,0,1)</f>
        <v>0</v>
      </c>
      <c r="C118" s="13" t="s">
        <v>233</v>
      </c>
      <c r="D118" s="13" t="s">
        <v>225</v>
      </c>
      <c r="E118" s="13">
        <v>4</v>
      </c>
      <c r="F118" s="39"/>
      <c r="G118" s="50">
        <v>78.95</v>
      </c>
      <c r="H118" s="41">
        <f t="shared" si="1"/>
        <v>315.8</v>
      </c>
      <c r="I118" s="39"/>
      <c r="J118" s="39"/>
      <c r="K118" s="39"/>
      <c r="L118" s="40" t="str">
        <f>INDEX(Overview!$B$8:$B$33,MATCH('OS&amp;E_FF&amp;E'!$A118,Overview!$A$8:$A$33,0))</f>
        <v>F&amp;B: Operating Equipment F&amp;B</v>
      </c>
    </row>
    <row r="119" spans="1:12">
      <c r="A119" s="39" t="s">
        <v>22</v>
      </c>
      <c r="B119" s="84">
        <f>IF(INDEX(Overview!$C$8:$C$33,MATCH('OS&amp;E_FF&amp;E'!A119,Overview!$A$8:$A$33,0))=0,0,1)</f>
        <v>0</v>
      </c>
      <c r="C119" s="13" t="s">
        <v>234</v>
      </c>
      <c r="D119" s="13" t="s">
        <v>225</v>
      </c>
      <c r="E119" s="13">
        <v>25</v>
      </c>
      <c r="F119" s="39"/>
      <c r="G119" s="50">
        <v>15.34</v>
      </c>
      <c r="H119" s="41">
        <f t="shared" si="1"/>
        <v>383.5</v>
      </c>
      <c r="I119" s="39"/>
      <c r="J119" s="39"/>
      <c r="K119" s="39"/>
      <c r="L119" s="40" t="str">
        <f>INDEX(Overview!$B$8:$B$33,MATCH('OS&amp;E_FF&amp;E'!$A119,Overview!$A$8:$A$33,0))</f>
        <v>F&amp;B: Operating Equipment F&amp;B</v>
      </c>
    </row>
    <row r="120" spans="1:12">
      <c r="A120" s="39" t="s">
        <v>22</v>
      </c>
      <c r="B120" s="84">
        <f>IF(INDEX(Overview!$C$8:$C$33,MATCH('OS&amp;E_FF&amp;E'!A120,Overview!$A$8:$A$33,0))=0,0,1)</f>
        <v>0</v>
      </c>
      <c r="C120" s="13" t="s">
        <v>232</v>
      </c>
      <c r="D120" s="13" t="s">
        <v>225</v>
      </c>
      <c r="E120" s="13">
        <v>20</v>
      </c>
      <c r="F120" s="39"/>
      <c r="G120" s="50">
        <v>32.47</v>
      </c>
      <c r="H120" s="41">
        <f t="shared" si="1"/>
        <v>649.4</v>
      </c>
      <c r="I120" s="39"/>
      <c r="J120" s="39"/>
      <c r="K120" s="39"/>
      <c r="L120" s="40" t="str">
        <f>INDEX(Overview!$B$8:$B$33,MATCH('OS&amp;E_FF&amp;E'!$A120,Overview!$A$8:$A$33,0))</f>
        <v>F&amp;B: Operating Equipment F&amp;B</v>
      </c>
    </row>
    <row r="121" spans="1:12">
      <c r="A121" s="39" t="s">
        <v>22</v>
      </c>
      <c r="B121" s="84">
        <f>IF(INDEX(Overview!$C$8:$C$33,MATCH('OS&amp;E_FF&amp;E'!A121,Overview!$A$8:$A$33,0))=0,0,1)</f>
        <v>0</v>
      </c>
      <c r="C121" s="13" t="s">
        <v>235</v>
      </c>
      <c r="D121" s="13" t="s">
        <v>225</v>
      </c>
      <c r="E121" s="13">
        <v>4</v>
      </c>
      <c r="F121" s="39"/>
      <c r="G121" s="50">
        <v>45.96</v>
      </c>
      <c r="H121" s="41">
        <f t="shared" si="1"/>
        <v>183.84</v>
      </c>
      <c r="I121" s="39"/>
      <c r="J121" s="39"/>
      <c r="K121" s="39"/>
      <c r="L121" s="40" t="str">
        <f>INDEX(Overview!$B$8:$B$33,MATCH('OS&amp;E_FF&amp;E'!$A121,Overview!$A$8:$A$33,0))</f>
        <v>F&amp;B: Operating Equipment F&amp;B</v>
      </c>
    </row>
    <row r="122" spans="1:12">
      <c r="A122" s="39" t="s">
        <v>22</v>
      </c>
      <c r="B122" s="84">
        <f>IF(INDEX(Overview!$C$8:$C$33,MATCH('OS&amp;E_FF&amp;E'!A122,Overview!$A$8:$A$33,0))=0,0,1)</f>
        <v>0</v>
      </c>
      <c r="C122" s="13" t="s">
        <v>236</v>
      </c>
      <c r="D122" s="13" t="s">
        <v>225</v>
      </c>
      <c r="E122" s="13">
        <v>4</v>
      </c>
      <c r="F122" s="39"/>
      <c r="G122" s="50">
        <v>110.95</v>
      </c>
      <c r="H122" s="41">
        <f t="shared" si="1"/>
        <v>443.8</v>
      </c>
      <c r="I122" s="39"/>
      <c r="J122" s="39"/>
      <c r="K122" s="39"/>
      <c r="L122" s="40" t="str">
        <f>INDEX(Overview!$B$8:$B$33,MATCH('OS&amp;E_FF&amp;E'!$A122,Overview!$A$8:$A$33,0))</f>
        <v>F&amp;B: Operating Equipment F&amp;B</v>
      </c>
    </row>
    <row r="123" spans="1:12">
      <c r="A123" s="39" t="s">
        <v>22</v>
      </c>
      <c r="B123" s="84">
        <f>IF(INDEX(Overview!$C$8:$C$33,MATCH('OS&amp;E_FF&amp;E'!A123,Overview!$A$8:$A$33,0))=0,0,1)</f>
        <v>0</v>
      </c>
      <c r="C123" s="13" t="s">
        <v>237</v>
      </c>
      <c r="D123" s="13" t="s">
        <v>225</v>
      </c>
      <c r="E123" s="13">
        <v>30</v>
      </c>
      <c r="F123" s="39"/>
      <c r="G123" s="50">
        <v>8.11</v>
      </c>
      <c r="H123" s="41">
        <f t="shared" si="1"/>
        <v>243.29999999999998</v>
      </c>
      <c r="I123" s="39"/>
      <c r="J123" s="39"/>
      <c r="K123" s="39"/>
      <c r="L123" s="40" t="str">
        <f>INDEX(Overview!$B$8:$B$33,MATCH('OS&amp;E_FF&amp;E'!$A123,Overview!$A$8:$A$33,0))</f>
        <v>F&amp;B: Operating Equipment F&amp;B</v>
      </c>
    </row>
    <row r="124" spans="1:12">
      <c r="A124" s="39" t="s">
        <v>22</v>
      </c>
      <c r="B124" s="84">
        <f>IF(INDEX(Overview!$C$8:$C$33,MATCH('OS&amp;E_FF&amp;E'!A124,Overview!$A$8:$A$33,0))=0,0,1)</f>
        <v>0</v>
      </c>
      <c r="C124" s="13" t="s">
        <v>199</v>
      </c>
      <c r="D124" s="13" t="s">
        <v>225</v>
      </c>
      <c r="E124" s="13">
        <v>6</v>
      </c>
      <c r="F124" s="39"/>
      <c r="G124" s="50">
        <v>8.5399999999999991</v>
      </c>
      <c r="H124" s="41">
        <f t="shared" si="1"/>
        <v>51.239999999999995</v>
      </c>
      <c r="I124" s="39"/>
      <c r="J124" s="39"/>
      <c r="K124" s="39"/>
      <c r="L124" s="40" t="str">
        <f>INDEX(Overview!$B$8:$B$33,MATCH('OS&amp;E_FF&amp;E'!$A124,Overview!$A$8:$A$33,0))</f>
        <v>F&amp;B: Operating Equipment F&amp;B</v>
      </c>
    </row>
    <row r="125" spans="1:12">
      <c r="A125" s="39" t="s">
        <v>22</v>
      </c>
      <c r="B125" s="84">
        <f>IF(INDEX(Overview!$C$8:$C$33,MATCH('OS&amp;E_FF&amp;E'!A125,Overview!$A$8:$A$33,0))=0,0,1)</f>
        <v>0</v>
      </c>
      <c r="C125" s="13" t="s">
        <v>238</v>
      </c>
      <c r="D125" s="13" t="s">
        <v>225</v>
      </c>
      <c r="E125" s="13">
        <v>5</v>
      </c>
      <c r="F125" s="39"/>
      <c r="G125" s="50">
        <v>40.65</v>
      </c>
      <c r="H125" s="41">
        <f t="shared" si="1"/>
        <v>203.25</v>
      </c>
      <c r="I125" s="39"/>
      <c r="J125" s="39"/>
      <c r="K125" s="39"/>
      <c r="L125" s="40" t="str">
        <f>INDEX(Overview!$B$8:$B$33,MATCH('OS&amp;E_FF&amp;E'!$A125,Overview!$A$8:$A$33,0))</f>
        <v>F&amp;B: Operating Equipment F&amp;B</v>
      </c>
    </row>
    <row r="126" spans="1:12">
      <c r="A126" s="39" t="s">
        <v>22</v>
      </c>
      <c r="B126" s="84">
        <f>IF(INDEX(Overview!$C$8:$C$33,MATCH('OS&amp;E_FF&amp;E'!A126,Overview!$A$8:$A$33,0))=0,0,1)</f>
        <v>0</v>
      </c>
      <c r="C126" s="13" t="s">
        <v>239</v>
      </c>
      <c r="D126" s="13" t="s">
        <v>225</v>
      </c>
      <c r="E126" s="13">
        <v>4</v>
      </c>
      <c r="F126" s="39"/>
      <c r="G126" s="50">
        <v>12.57</v>
      </c>
      <c r="H126" s="41">
        <f t="shared" si="1"/>
        <v>50.28</v>
      </c>
      <c r="I126" s="39"/>
      <c r="J126" s="39"/>
      <c r="K126" s="39"/>
      <c r="L126" s="40" t="str">
        <f>INDEX(Overview!$B$8:$B$33,MATCH('OS&amp;E_FF&amp;E'!$A126,Overview!$A$8:$A$33,0))</f>
        <v>F&amp;B: Operating Equipment F&amp;B</v>
      </c>
    </row>
    <row r="127" spans="1:12">
      <c r="A127" s="39" t="s">
        <v>22</v>
      </c>
      <c r="B127" s="84">
        <f>IF(INDEX(Overview!$C$8:$C$33,MATCH('OS&amp;E_FF&amp;E'!A127,Overview!$A$8:$A$33,0))=0,0,1)</f>
        <v>0</v>
      </c>
      <c r="C127" s="13" t="s">
        <v>240</v>
      </c>
      <c r="D127" s="13" t="s">
        <v>225</v>
      </c>
      <c r="E127" s="13">
        <v>3</v>
      </c>
      <c r="F127" s="39"/>
      <c r="G127" s="50">
        <v>54.99</v>
      </c>
      <c r="H127" s="41">
        <f t="shared" si="1"/>
        <v>164.97</v>
      </c>
      <c r="I127" s="39"/>
      <c r="J127" s="39"/>
      <c r="K127" s="39"/>
      <c r="L127" s="40" t="str">
        <f>INDEX(Overview!$B$8:$B$33,MATCH('OS&amp;E_FF&amp;E'!$A127,Overview!$A$8:$A$33,0))</f>
        <v>F&amp;B: Operating Equipment F&amp;B</v>
      </c>
    </row>
    <row r="128" spans="1:12">
      <c r="A128" s="39" t="s">
        <v>22</v>
      </c>
      <c r="B128" s="84">
        <f>IF(INDEX(Overview!$C$8:$C$33,MATCH('OS&amp;E_FF&amp;E'!A128,Overview!$A$8:$A$33,0))=0,0,1)</f>
        <v>0</v>
      </c>
      <c r="C128" s="13" t="s">
        <v>241</v>
      </c>
      <c r="D128" s="13" t="s">
        <v>225</v>
      </c>
      <c r="E128" s="13">
        <v>10</v>
      </c>
      <c r="F128" s="39"/>
      <c r="G128" s="50">
        <v>27.97</v>
      </c>
      <c r="H128" s="41">
        <f t="shared" si="1"/>
        <v>279.7</v>
      </c>
      <c r="I128" s="39"/>
      <c r="J128" s="39"/>
      <c r="K128" s="39"/>
      <c r="L128" s="40" t="str">
        <f>INDEX(Overview!$B$8:$B$33,MATCH('OS&amp;E_FF&amp;E'!$A128,Overview!$A$8:$A$33,0))</f>
        <v>F&amp;B: Operating Equipment F&amp;B</v>
      </c>
    </row>
    <row r="129" spans="1:12">
      <c r="A129" s="39" t="s">
        <v>22</v>
      </c>
      <c r="B129" s="84">
        <f>IF(INDEX(Overview!$C$8:$C$33,MATCH('OS&amp;E_FF&amp;E'!A129,Overview!$A$8:$A$33,0))=0,0,1)</f>
        <v>0</v>
      </c>
      <c r="C129" s="13" t="s">
        <v>242</v>
      </c>
      <c r="D129" s="13" t="s">
        <v>225</v>
      </c>
      <c r="E129" s="13">
        <v>9</v>
      </c>
      <c r="F129" s="39"/>
      <c r="G129" s="50">
        <v>6.77</v>
      </c>
      <c r="H129" s="41">
        <f t="shared" si="1"/>
        <v>60.929999999999993</v>
      </c>
      <c r="I129" s="39"/>
      <c r="J129" s="39"/>
      <c r="K129" s="39"/>
      <c r="L129" s="40" t="str">
        <f>INDEX(Overview!$B$8:$B$33,MATCH('OS&amp;E_FF&amp;E'!$A129,Overview!$A$8:$A$33,0))</f>
        <v>F&amp;B: Operating Equipment F&amp;B</v>
      </c>
    </row>
    <row r="130" spans="1:12">
      <c r="A130" s="39" t="s">
        <v>22</v>
      </c>
      <c r="B130" s="84">
        <f>IF(INDEX(Overview!$C$8:$C$33,MATCH('OS&amp;E_FF&amp;E'!A130,Overview!$A$8:$A$33,0))=0,0,1)</f>
        <v>0</v>
      </c>
      <c r="C130" s="13" t="s">
        <v>239</v>
      </c>
      <c r="D130" s="13" t="s">
        <v>225</v>
      </c>
      <c r="E130" s="13">
        <v>4</v>
      </c>
      <c r="F130" s="39"/>
      <c r="G130" s="50">
        <v>12.57</v>
      </c>
      <c r="H130" s="41">
        <f t="shared" ref="H130:H193" si="2">E130*G130</f>
        <v>50.28</v>
      </c>
      <c r="I130" s="39"/>
      <c r="J130" s="39"/>
      <c r="K130" s="39"/>
      <c r="L130" s="40" t="str">
        <f>INDEX(Overview!$B$8:$B$33,MATCH('OS&amp;E_FF&amp;E'!$A130,Overview!$A$8:$A$33,0))</f>
        <v>F&amp;B: Operating Equipment F&amp;B</v>
      </c>
    </row>
    <row r="131" spans="1:12">
      <c r="A131" s="39" t="s">
        <v>22</v>
      </c>
      <c r="B131" s="84">
        <f>IF(INDEX(Overview!$C$8:$C$33,MATCH('OS&amp;E_FF&amp;E'!A131,Overview!$A$8:$A$33,0))=0,0,1)</f>
        <v>0</v>
      </c>
      <c r="C131" s="13" t="s">
        <v>243</v>
      </c>
      <c r="D131" s="13" t="s">
        <v>225</v>
      </c>
      <c r="E131" s="13">
        <v>1</v>
      </c>
      <c r="F131" s="39"/>
      <c r="G131" s="50">
        <v>115.7</v>
      </c>
      <c r="H131" s="41">
        <f t="shared" si="2"/>
        <v>115.7</v>
      </c>
      <c r="I131" s="39"/>
      <c r="J131" s="39"/>
      <c r="K131" s="39"/>
      <c r="L131" s="40" t="str">
        <f>INDEX(Overview!$B$8:$B$33,MATCH('OS&amp;E_FF&amp;E'!$A131,Overview!$A$8:$A$33,0))</f>
        <v>F&amp;B: Operating Equipment F&amp;B</v>
      </c>
    </row>
    <row r="132" spans="1:12">
      <c r="A132" s="39" t="s">
        <v>22</v>
      </c>
      <c r="B132" s="84">
        <f>IF(INDEX(Overview!$C$8:$C$33,MATCH('OS&amp;E_FF&amp;E'!A132,Overview!$A$8:$A$33,0))=0,0,1)</f>
        <v>0</v>
      </c>
      <c r="C132" s="13" t="s">
        <v>244</v>
      </c>
      <c r="D132" s="13" t="s">
        <v>225</v>
      </c>
      <c r="E132" s="13">
        <v>4</v>
      </c>
      <c r="F132" s="39"/>
      <c r="G132" s="50">
        <v>33.520000000000003</v>
      </c>
      <c r="H132" s="41">
        <f t="shared" si="2"/>
        <v>134.08000000000001</v>
      </c>
      <c r="I132" s="39"/>
      <c r="J132" s="39"/>
      <c r="K132" s="39"/>
      <c r="L132" s="40" t="str">
        <f>INDEX(Overview!$B$8:$B$33,MATCH('OS&amp;E_FF&amp;E'!$A132,Overview!$A$8:$A$33,0))</f>
        <v>F&amp;B: Operating Equipment F&amp;B</v>
      </c>
    </row>
    <row r="133" spans="1:12">
      <c r="A133" s="39" t="s">
        <v>22</v>
      </c>
      <c r="B133" s="84">
        <f>IF(INDEX(Overview!$C$8:$C$33,MATCH('OS&amp;E_FF&amp;E'!A133,Overview!$A$8:$A$33,0))=0,0,1)</f>
        <v>0</v>
      </c>
      <c r="C133" s="13" t="s">
        <v>245</v>
      </c>
      <c r="D133" s="13" t="s">
        <v>225</v>
      </c>
      <c r="E133" s="13">
        <v>2</v>
      </c>
      <c r="F133" s="39"/>
      <c r="G133" s="50">
        <v>17.920000000000002</v>
      </c>
      <c r="H133" s="41">
        <f t="shared" si="2"/>
        <v>35.840000000000003</v>
      </c>
      <c r="I133" s="39"/>
      <c r="J133" s="39"/>
      <c r="K133" s="39"/>
      <c r="L133" s="40" t="str">
        <f>INDEX(Overview!$B$8:$B$33,MATCH('OS&amp;E_FF&amp;E'!$A133,Overview!$A$8:$A$33,0))</f>
        <v>F&amp;B: Operating Equipment F&amp;B</v>
      </c>
    </row>
    <row r="134" spans="1:12">
      <c r="A134" s="39" t="s">
        <v>22</v>
      </c>
      <c r="B134" s="84">
        <f>IF(INDEX(Overview!$C$8:$C$33,MATCH('OS&amp;E_FF&amp;E'!A134,Overview!$A$8:$A$33,0))=0,0,1)</f>
        <v>0</v>
      </c>
      <c r="C134" s="13" t="s">
        <v>246</v>
      </c>
      <c r="D134" s="13" t="s">
        <v>225</v>
      </c>
      <c r="E134" s="13">
        <v>4</v>
      </c>
      <c r="F134" s="39"/>
      <c r="G134" s="50">
        <v>900</v>
      </c>
      <c r="H134" s="41">
        <f t="shared" si="2"/>
        <v>3600</v>
      </c>
      <c r="I134" s="39"/>
      <c r="J134" s="39"/>
      <c r="K134" s="39"/>
      <c r="L134" s="40" t="str">
        <f>INDEX(Overview!$B$8:$B$33,MATCH('OS&amp;E_FF&amp;E'!$A134,Overview!$A$8:$A$33,0))</f>
        <v>F&amp;B: Operating Equipment F&amp;B</v>
      </c>
    </row>
    <row r="135" spans="1:12">
      <c r="A135" s="39" t="s">
        <v>22</v>
      </c>
      <c r="B135" s="84">
        <f>IF(INDEX(Overview!$C$8:$C$33,MATCH('OS&amp;E_FF&amp;E'!A135,Overview!$A$8:$A$33,0))=0,0,1)</f>
        <v>0</v>
      </c>
      <c r="C135" s="13" t="s">
        <v>247</v>
      </c>
      <c r="D135" s="13" t="s">
        <v>225</v>
      </c>
      <c r="E135" s="13">
        <v>1</v>
      </c>
      <c r="F135" s="39"/>
      <c r="G135" s="50">
        <v>25000</v>
      </c>
      <c r="H135" s="41">
        <f t="shared" si="2"/>
        <v>25000</v>
      </c>
      <c r="I135" s="39"/>
      <c r="J135" s="39"/>
      <c r="K135" s="39"/>
      <c r="L135" s="40" t="str">
        <f>INDEX(Overview!$B$8:$B$33,MATCH('OS&amp;E_FF&amp;E'!$A135,Overview!$A$8:$A$33,0))</f>
        <v>F&amp;B: Operating Equipment F&amp;B</v>
      </c>
    </row>
    <row r="136" spans="1:12">
      <c r="A136" s="39" t="s">
        <v>22</v>
      </c>
      <c r="B136" s="84">
        <f>IF(INDEX(Overview!$C$8:$C$33,MATCH('OS&amp;E_FF&amp;E'!A136,Overview!$A$8:$A$33,0))=0,0,1)</f>
        <v>0</v>
      </c>
      <c r="C136" s="13" t="s">
        <v>248</v>
      </c>
      <c r="D136" s="13" t="s">
        <v>249</v>
      </c>
      <c r="E136" s="13">
        <v>2</v>
      </c>
      <c r="F136" s="39"/>
      <c r="G136" s="50">
        <v>100</v>
      </c>
      <c r="H136" s="41">
        <f t="shared" si="2"/>
        <v>200</v>
      </c>
      <c r="I136" s="39"/>
      <c r="J136" s="39"/>
      <c r="K136" s="39"/>
      <c r="L136" s="40" t="str">
        <f>INDEX(Overview!$B$8:$B$33,MATCH('OS&amp;E_FF&amp;E'!$A136,Overview!$A$8:$A$33,0))</f>
        <v>F&amp;B: Operating Equipment F&amp;B</v>
      </c>
    </row>
    <row r="137" spans="1:12">
      <c r="A137" s="39" t="s">
        <v>22</v>
      </c>
      <c r="B137" s="84">
        <f>IF(INDEX(Overview!$C$8:$C$33,MATCH('OS&amp;E_FF&amp;E'!A137,Overview!$A$8:$A$33,0))=0,0,1)</f>
        <v>0</v>
      </c>
      <c r="C137" s="13" t="s">
        <v>250</v>
      </c>
      <c r="D137" s="13" t="s">
        <v>249</v>
      </c>
      <c r="E137" s="13">
        <v>2</v>
      </c>
      <c r="F137" s="39"/>
      <c r="G137" s="50">
        <v>2.95</v>
      </c>
      <c r="H137" s="41">
        <f t="shared" si="2"/>
        <v>5.9</v>
      </c>
      <c r="I137" s="39"/>
      <c r="J137" s="39"/>
      <c r="K137" s="39"/>
      <c r="L137" s="40" t="str">
        <f>INDEX(Overview!$B$8:$B$33,MATCH('OS&amp;E_FF&amp;E'!$A137,Overview!$A$8:$A$33,0))</f>
        <v>F&amp;B: Operating Equipment F&amp;B</v>
      </c>
    </row>
    <row r="138" spans="1:12">
      <c r="A138" s="39" t="s">
        <v>22</v>
      </c>
      <c r="B138" s="84">
        <f>IF(INDEX(Overview!$C$8:$C$33,MATCH('OS&amp;E_FF&amp;E'!A138,Overview!$A$8:$A$33,0))=0,0,1)</f>
        <v>0</v>
      </c>
      <c r="C138" s="13" t="s">
        <v>251</v>
      </c>
      <c r="D138" s="13" t="s">
        <v>249</v>
      </c>
      <c r="E138" s="13">
        <v>2</v>
      </c>
      <c r="F138" s="39"/>
      <c r="G138" s="50">
        <v>4.99</v>
      </c>
      <c r="H138" s="41">
        <f t="shared" si="2"/>
        <v>9.98</v>
      </c>
      <c r="I138" s="39"/>
      <c r="J138" s="39"/>
      <c r="K138" s="39"/>
      <c r="L138" s="40" t="str">
        <f>INDEX(Overview!$B$8:$B$33,MATCH('OS&amp;E_FF&amp;E'!$A138,Overview!$A$8:$A$33,0))</f>
        <v>F&amp;B: Operating Equipment F&amp;B</v>
      </c>
    </row>
    <row r="139" spans="1:12">
      <c r="A139" s="39" t="s">
        <v>22</v>
      </c>
      <c r="B139" s="84">
        <f>IF(INDEX(Overview!$C$8:$C$33,MATCH('OS&amp;E_FF&amp;E'!A139,Overview!$A$8:$A$33,0))=0,0,1)</f>
        <v>0</v>
      </c>
      <c r="C139" s="13" t="s">
        <v>252</v>
      </c>
      <c r="D139" s="13" t="s">
        <v>249</v>
      </c>
      <c r="E139" s="13">
        <v>2</v>
      </c>
      <c r="F139" s="39"/>
      <c r="G139" s="50">
        <v>4.4400000000000004</v>
      </c>
      <c r="H139" s="41">
        <f t="shared" si="2"/>
        <v>8.8800000000000008</v>
      </c>
      <c r="I139" s="39"/>
      <c r="J139" s="39"/>
      <c r="K139" s="39"/>
      <c r="L139" s="40" t="str">
        <f>INDEX(Overview!$B$8:$B$33,MATCH('OS&amp;E_FF&amp;E'!$A139,Overview!$A$8:$A$33,0))</f>
        <v>F&amp;B: Operating Equipment F&amp;B</v>
      </c>
    </row>
    <row r="140" spans="1:12">
      <c r="A140" s="39" t="s">
        <v>22</v>
      </c>
      <c r="B140" s="84">
        <f>IF(INDEX(Overview!$C$8:$C$33,MATCH('OS&amp;E_FF&amp;E'!A140,Overview!$A$8:$A$33,0))=0,0,1)</f>
        <v>0</v>
      </c>
      <c r="C140" s="13" t="s">
        <v>253</v>
      </c>
      <c r="D140" s="13" t="s">
        <v>249</v>
      </c>
      <c r="E140" s="13">
        <v>3</v>
      </c>
      <c r="F140" s="39"/>
      <c r="G140" s="50">
        <v>6.08</v>
      </c>
      <c r="H140" s="41">
        <f t="shared" si="2"/>
        <v>18.240000000000002</v>
      </c>
      <c r="I140" s="39"/>
      <c r="J140" s="39"/>
      <c r="K140" s="39"/>
      <c r="L140" s="40" t="str">
        <f>INDEX(Overview!$B$8:$B$33,MATCH('OS&amp;E_FF&amp;E'!$A140,Overview!$A$8:$A$33,0))</f>
        <v>F&amp;B: Operating Equipment F&amp;B</v>
      </c>
    </row>
    <row r="141" spans="1:12">
      <c r="A141" s="39" t="s">
        <v>22</v>
      </c>
      <c r="B141" s="84">
        <f>IF(INDEX(Overview!$C$8:$C$33,MATCH('OS&amp;E_FF&amp;E'!A141,Overview!$A$8:$A$33,0))=0,0,1)</f>
        <v>0</v>
      </c>
      <c r="C141" s="13" t="s">
        <v>254</v>
      </c>
      <c r="D141" s="13" t="s">
        <v>249</v>
      </c>
      <c r="E141" s="13">
        <v>2</v>
      </c>
      <c r="F141" s="39"/>
      <c r="G141" s="50">
        <v>3.38</v>
      </c>
      <c r="H141" s="41">
        <f t="shared" si="2"/>
        <v>6.76</v>
      </c>
      <c r="I141" s="39"/>
      <c r="J141" s="39"/>
      <c r="K141" s="39"/>
      <c r="L141" s="40" t="str">
        <f>INDEX(Overview!$B$8:$B$33,MATCH('OS&amp;E_FF&amp;E'!$A141,Overview!$A$8:$A$33,0))</f>
        <v>F&amp;B: Operating Equipment F&amp;B</v>
      </c>
    </row>
    <row r="142" spans="1:12">
      <c r="A142" s="39" t="s">
        <v>22</v>
      </c>
      <c r="B142" s="84">
        <f>IF(INDEX(Overview!$C$8:$C$33,MATCH('OS&amp;E_FF&amp;E'!A142,Overview!$A$8:$A$33,0))=0,0,1)</f>
        <v>0</v>
      </c>
      <c r="C142" s="13" t="s">
        <v>255</v>
      </c>
      <c r="D142" s="13" t="s">
        <v>249</v>
      </c>
      <c r="E142" s="13">
        <v>2</v>
      </c>
      <c r="F142" s="39"/>
      <c r="G142" s="50">
        <v>5.56</v>
      </c>
      <c r="H142" s="41">
        <f t="shared" si="2"/>
        <v>11.12</v>
      </c>
      <c r="I142" s="39"/>
      <c r="J142" s="39"/>
      <c r="K142" s="39"/>
      <c r="L142" s="40" t="str">
        <f>INDEX(Overview!$B$8:$B$33,MATCH('OS&amp;E_FF&amp;E'!$A142,Overview!$A$8:$A$33,0))</f>
        <v>F&amp;B: Operating Equipment F&amp;B</v>
      </c>
    </row>
    <row r="143" spans="1:12">
      <c r="A143" s="39" t="s">
        <v>22</v>
      </c>
      <c r="B143" s="84">
        <f>IF(INDEX(Overview!$C$8:$C$33,MATCH('OS&amp;E_FF&amp;E'!A143,Overview!$A$8:$A$33,0))=0,0,1)</f>
        <v>0</v>
      </c>
      <c r="C143" s="13" t="s">
        <v>256</v>
      </c>
      <c r="D143" s="13" t="s">
        <v>249</v>
      </c>
      <c r="E143" s="13">
        <v>10</v>
      </c>
      <c r="F143" s="39"/>
      <c r="G143" s="50">
        <v>6.75</v>
      </c>
      <c r="H143" s="41">
        <f t="shared" si="2"/>
        <v>67.5</v>
      </c>
      <c r="I143" s="39"/>
      <c r="J143" s="39"/>
      <c r="K143" s="39"/>
      <c r="L143" s="40" t="str">
        <f>INDEX(Overview!$B$8:$B$33,MATCH('OS&amp;E_FF&amp;E'!$A143,Overview!$A$8:$A$33,0))</f>
        <v>F&amp;B: Operating Equipment F&amp;B</v>
      </c>
    </row>
    <row r="144" spans="1:12">
      <c r="A144" s="39" t="s">
        <v>22</v>
      </c>
      <c r="B144" s="84">
        <f>IF(INDEX(Overview!$C$8:$C$33,MATCH('OS&amp;E_FF&amp;E'!A144,Overview!$A$8:$A$33,0))=0,0,1)</f>
        <v>0</v>
      </c>
      <c r="C144" s="13" t="s">
        <v>257</v>
      </c>
      <c r="D144" s="13" t="s">
        <v>249</v>
      </c>
      <c r="E144" s="13">
        <v>2</v>
      </c>
      <c r="F144" s="39"/>
      <c r="G144" s="50">
        <v>29</v>
      </c>
      <c r="H144" s="41">
        <f t="shared" si="2"/>
        <v>58</v>
      </c>
      <c r="I144" s="39"/>
      <c r="J144" s="39"/>
      <c r="K144" s="39"/>
      <c r="L144" s="40" t="str">
        <f>INDEX(Overview!$B$8:$B$33,MATCH('OS&amp;E_FF&amp;E'!$A144,Overview!$A$8:$A$33,0))</f>
        <v>F&amp;B: Operating Equipment F&amp;B</v>
      </c>
    </row>
    <row r="145" spans="1:12">
      <c r="A145" s="39" t="s">
        <v>22</v>
      </c>
      <c r="B145" s="84">
        <f>IF(INDEX(Overview!$C$8:$C$33,MATCH('OS&amp;E_FF&amp;E'!A145,Overview!$A$8:$A$33,0))=0,0,1)</f>
        <v>0</v>
      </c>
      <c r="C145" s="13" t="s">
        <v>258</v>
      </c>
      <c r="D145" s="13" t="s">
        <v>249</v>
      </c>
      <c r="E145" s="13">
        <v>10</v>
      </c>
      <c r="F145" s="39"/>
      <c r="G145" s="50">
        <v>25</v>
      </c>
      <c r="H145" s="41">
        <f t="shared" si="2"/>
        <v>250</v>
      </c>
      <c r="I145" s="39"/>
      <c r="J145" s="39"/>
      <c r="K145" s="39"/>
      <c r="L145" s="40" t="str">
        <f>INDEX(Overview!$B$8:$B$33,MATCH('OS&amp;E_FF&amp;E'!$A145,Overview!$A$8:$A$33,0))</f>
        <v>F&amp;B: Operating Equipment F&amp;B</v>
      </c>
    </row>
    <row r="146" spans="1:12">
      <c r="A146" s="39" t="s">
        <v>22</v>
      </c>
      <c r="B146" s="84">
        <f>IF(INDEX(Overview!$C$8:$C$33,MATCH('OS&amp;E_FF&amp;E'!A146,Overview!$A$8:$A$33,0))=0,0,1)</f>
        <v>0</v>
      </c>
      <c r="C146" s="13" t="s">
        <v>259</v>
      </c>
      <c r="D146" s="13" t="s">
        <v>249</v>
      </c>
      <c r="E146" s="13">
        <v>6</v>
      </c>
      <c r="F146" s="39"/>
      <c r="G146" s="50">
        <v>14</v>
      </c>
      <c r="H146" s="41">
        <f t="shared" si="2"/>
        <v>84</v>
      </c>
      <c r="I146" s="39"/>
      <c r="J146" s="39"/>
      <c r="K146" s="39"/>
      <c r="L146" s="40" t="str">
        <f>INDEX(Overview!$B$8:$B$33,MATCH('OS&amp;E_FF&amp;E'!$A146,Overview!$A$8:$A$33,0))</f>
        <v>F&amp;B: Operating Equipment F&amp;B</v>
      </c>
    </row>
    <row r="147" spans="1:12">
      <c r="A147" s="39" t="s">
        <v>22</v>
      </c>
      <c r="B147" s="84">
        <f>IF(INDEX(Overview!$C$8:$C$33,MATCH('OS&amp;E_FF&amp;E'!A147,Overview!$A$8:$A$33,0))=0,0,1)</f>
        <v>0</v>
      </c>
      <c r="C147" s="13" t="s">
        <v>260</v>
      </c>
      <c r="D147" s="13" t="s">
        <v>249</v>
      </c>
      <c r="E147" s="13">
        <v>6</v>
      </c>
      <c r="F147" s="39"/>
      <c r="G147" s="50">
        <v>11.5</v>
      </c>
      <c r="H147" s="41">
        <f t="shared" si="2"/>
        <v>69</v>
      </c>
      <c r="I147" s="39"/>
      <c r="J147" s="39"/>
      <c r="K147" s="39"/>
      <c r="L147" s="40" t="str">
        <f>INDEX(Overview!$B$8:$B$33,MATCH('OS&amp;E_FF&amp;E'!$A147,Overview!$A$8:$A$33,0))</f>
        <v>F&amp;B: Operating Equipment F&amp;B</v>
      </c>
    </row>
    <row r="148" spans="1:12">
      <c r="A148" s="39" t="s">
        <v>22</v>
      </c>
      <c r="B148" s="84">
        <f>IF(INDEX(Overview!$C$8:$C$33,MATCH('OS&amp;E_FF&amp;E'!A148,Overview!$A$8:$A$33,0))=0,0,1)</f>
        <v>0</v>
      </c>
      <c r="C148" s="13" t="s">
        <v>261</v>
      </c>
      <c r="D148" s="13" t="s">
        <v>249</v>
      </c>
      <c r="E148" s="13">
        <v>8</v>
      </c>
      <c r="F148" s="39"/>
      <c r="G148" s="50">
        <v>15.5</v>
      </c>
      <c r="H148" s="41">
        <f t="shared" si="2"/>
        <v>124</v>
      </c>
      <c r="I148" s="39"/>
      <c r="J148" s="39"/>
      <c r="K148" s="39"/>
      <c r="L148" s="40" t="str">
        <f>INDEX(Overview!$B$8:$B$33,MATCH('OS&amp;E_FF&amp;E'!$A148,Overview!$A$8:$A$33,0))</f>
        <v>F&amp;B: Operating Equipment F&amp;B</v>
      </c>
    </row>
    <row r="149" spans="1:12">
      <c r="A149" s="39" t="s">
        <v>22</v>
      </c>
      <c r="B149" s="84">
        <f>IF(INDEX(Overview!$C$8:$C$33,MATCH('OS&amp;E_FF&amp;E'!A149,Overview!$A$8:$A$33,0))=0,0,1)</f>
        <v>0</v>
      </c>
      <c r="C149" s="13" t="s">
        <v>262</v>
      </c>
      <c r="D149" s="13" t="s">
        <v>249</v>
      </c>
      <c r="E149" s="13">
        <v>2</v>
      </c>
      <c r="F149" s="39"/>
      <c r="G149" s="50">
        <v>0.97</v>
      </c>
      <c r="H149" s="41">
        <f t="shared" si="2"/>
        <v>1.94</v>
      </c>
      <c r="I149" s="39"/>
      <c r="J149" s="39"/>
      <c r="K149" s="39"/>
      <c r="L149" s="40" t="str">
        <f>INDEX(Overview!$B$8:$B$33,MATCH('OS&amp;E_FF&amp;E'!$A149,Overview!$A$8:$A$33,0))</f>
        <v>F&amp;B: Operating Equipment F&amp;B</v>
      </c>
    </row>
    <row r="150" spans="1:12">
      <c r="A150" s="39" t="s">
        <v>22</v>
      </c>
      <c r="B150" s="84">
        <f>IF(INDEX(Overview!$C$8:$C$33,MATCH('OS&amp;E_FF&amp;E'!A150,Overview!$A$8:$A$33,0))=0,0,1)</f>
        <v>0</v>
      </c>
      <c r="C150" s="13" t="s">
        <v>263</v>
      </c>
      <c r="D150" s="13" t="s">
        <v>249</v>
      </c>
      <c r="E150" s="13">
        <v>3</v>
      </c>
      <c r="F150" s="39"/>
      <c r="G150" s="50">
        <v>4.1900000000000004</v>
      </c>
      <c r="H150" s="41">
        <f t="shared" si="2"/>
        <v>12.57</v>
      </c>
      <c r="I150" s="39"/>
      <c r="J150" s="39"/>
      <c r="K150" s="39"/>
      <c r="L150" s="40" t="str">
        <f>INDEX(Overview!$B$8:$B$33,MATCH('OS&amp;E_FF&amp;E'!$A150,Overview!$A$8:$A$33,0))</f>
        <v>F&amp;B: Operating Equipment F&amp;B</v>
      </c>
    </row>
    <row r="151" spans="1:12">
      <c r="A151" s="39" t="s">
        <v>22</v>
      </c>
      <c r="B151" s="84">
        <f>IF(INDEX(Overview!$C$8:$C$33,MATCH('OS&amp;E_FF&amp;E'!A151,Overview!$A$8:$A$33,0))=0,0,1)</f>
        <v>0</v>
      </c>
      <c r="C151" s="13" t="s">
        <v>264</v>
      </c>
      <c r="D151" s="13" t="s">
        <v>249</v>
      </c>
      <c r="E151" s="13">
        <v>1</v>
      </c>
      <c r="F151" s="39"/>
      <c r="G151" s="50">
        <v>3.8</v>
      </c>
      <c r="H151" s="41">
        <f t="shared" si="2"/>
        <v>3.8</v>
      </c>
      <c r="I151" s="39"/>
      <c r="J151" s="39"/>
      <c r="K151" s="39"/>
      <c r="L151" s="40" t="str">
        <f>INDEX(Overview!$B$8:$B$33,MATCH('OS&amp;E_FF&amp;E'!$A151,Overview!$A$8:$A$33,0))</f>
        <v>F&amp;B: Operating Equipment F&amp;B</v>
      </c>
    </row>
    <row r="152" spans="1:12">
      <c r="A152" s="39" t="s">
        <v>22</v>
      </c>
      <c r="B152" s="84">
        <f>IF(INDEX(Overview!$C$8:$C$33,MATCH('OS&amp;E_FF&amp;E'!A152,Overview!$A$8:$A$33,0))=0,0,1)</f>
        <v>0</v>
      </c>
      <c r="C152" s="13" t="s">
        <v>265</v>
      </c>
      <c r="D152" s="13" t="s">
        <v>249</v>
      </c>
      <c r="E152" s="13">
        <v>1</v>
      </c>
      <c r="F152" s="39"/>
      <c r="G152" s="50">
        <v>5.49</v>
      </c>
      <c r="H152" s="41">
        <f t="shared" si="2"/>
        <v>5.49</v>
      </c>
      <c r="I152" s="39"/>
      <c r="J152" s="39"/>
      <c r="K152" s="39"/>
      <c r="L152" s="40" t="str">
        <f>INDEX(Overview!$B$8:$B$33,MATCH('OS&amp;E_FF&amp;E'!$A152,Overview!$A$8:$A$33,0))</f>
        <v>F&amp;B: Operating Equipment F&amp;B</v>
      </c>
    </row>
    <row r="153" spans="1:12">
      <c r="A153" s="39" t="s">
        <v>22</v>
      </c>
      <c r="B153" s="84">
        <f>IF(INDEX(Overview!$C$8:$C$33,MATCH('OS&amp;E_FF&amp;E'!A153,Overview!$A$8:$A$33,0))=0,0,1)</f>
        <v>0</v>
      </c>
      <c r="C153" s="13" t="s">
        <v>266</v>
      </c>
      <c r="D153" s="13" t="s">
        <v>249</v>
      </c>
      <c r="E153" s="13">
        <v>1</v>
      </c>
      <c r="F153" s="39"/>
      <c r="G153" s="50">
        <v>29.75</v>
      </c>
      <c r="H153" s="41">
        <f t="shared" si="2"/>
        <v>29.75</v>
      </c>
      <c r="I153" s="39"/>
      <c r="J153" s="39"/>
      <c r="K153" s="39"/>
      <c r="L153" s="40" t="str">
        <f>INDEX(Overview!$B$8:$B$33,MATCH('OS&amp;E_FF&amp;E'!$A153,Overview!$A$8:$A$33,0))</f>
        <v>F&amp;B: Operating Equipment F&amp;B</v>
      </c>
    </row>
    <row r="154" spans="1:12">
      <c r="A154" s="39" t="s">
        <v>22</v>
      </c>
      <c r="B154" s="84">
        <f>IF(INDEX(Overview!$C$8:$C$33,MATCH('OS&amp;E_FF&amp;E'!A154,Overview!$A$8:$A$33,0))=0,0,1)</f>
        <v>0</v>
      </c>
      <c r="C154" s="13" t="s">
        <v>267</v>
      </c>
      <c r="D154" s="13" t="s">
        <v>249</v>
      </c>
      <c r="E154" s="13">
        <v>10</v>
      </c>
      <c r="F154" s="39"/>
      <c r="G154" s="50">
        <v>12.85</v>
      </c>
      <c r="H154" s="41">
        <f t="shared" si="2"/>
        <v>128.5</v>
      </c>
      <c r="I154" s="39"/>
      <c r="J154" s="39"/>
      <c r="K154" s="39"/>
      <c r="L154" s="40" t="str">
        <f>INDEX(Overview!$B$8:$B$33,MATCH('OS&amp;E_FF&amp;E'!$A154,Overview!$A$8:$A$33,0))</f>
        <v>F&amp;B: Operating Equipment F&amp;B</v>
      </c>
    </row>
    <row r="155" spans="1:12">
      <c r="A155" s="39" t="s">
        <v>22</v>
      </c>
      <c r="B155" s="84">
        <f>IF(INDEX(Overview!$C$8:$C$33,MATCH('OS&amp;E_FF&amp;E'!A155,Overview!$A$8:$A$33,0))=0,0,1)</f>
        <v>0</v>
      </c>
      <c r="C155" s="13" t="s">
        <v>268</v>
      </c>
      <c r="D155" s="13" t="s">
        <v>249</v>
      </c>
      <c r="E155" s="13">
        <v>1</v>
      </c>
      <c r="F155" s="39"/>
      <c r="G155" s="50">
        <v>25.11</v>
      </c>
      <c r="H155" s="41">
        <f t="shared" si="2"/>
        <v>25.11</v>
      </c>
      <c r="I155" s="39"/>
      <c r="J155" s="39"/>
      <c r="K155" s="39"/>
      <c r="L155" s="40" t="str">
        <f>INDEX(Overview!$B$8:$B$33,MATCH('OS&amp;E_FF&amp;E'!$A155,Overview!$A$8:$A$33,0))</f>
        <v>F&amp;B: Operating Equipment F&amp;B</v>
      </c>
    </row>
    <row r="156" spans="1:12">
      <c r="A156" s="39" t="s">
        <v>22</v>
      </c>
      <c r="B156" s="84">
        <f>IF(INDEX(Overview!$C$8:$C$33,MATCH('OS&amp;E_FF&amp;E'!A156,Overview!$A$8:$A$33,0))=0,0,1)</f>
        <v>0</v>
      </c>
      <c r="C156" s="13" t="s">
        <v>269</v>
      </c>
      <c r="D156" s="13" t="s">
        <v>270</v>
      </c>
      <c r="E156" s="13">
        <v>4</v>
      </c>
      <c r="F156" s="39"/>
      <c r="G156" s="50">
        <v>10.039999999999999</v>
      </c>
      <c r="H156" s="41">
        <f t="shared" si="2"/>
        <v>40.159999999999997</v>
      </c>
      <c r="I156" s="39"/>
      <c r="J156" s="39"/>
      <c r="K156" s="39"/>
      <c r="L156" s="40" t="str">
        <f>INDEX(Overview!$B$8:$B$33,MATCH('OS&amp;E_FF&amp;E'!$A156,Overview!$A$8:$A$33,0))</f>
        <v>F&amp;B: Operating Equipment F&amp;B</v>
      </c>
    </row>
    <row r="157" spans="1:12">
      <c r="A157" s="39" t="s">
        <v>22</v>
      </c>
      <c r="B157" s="84">
        <f>IF(INDEX(Overview!$C$8:$C$33,MATCH('OS&amp;E_FF&amp;E'!A157,Overview!$A$8:$A$33,0))=0,0,1)</f>
        <v>0</v>
      </c>
      <c r="C157" s="13" t="s">
        <v>271</v>
      </c>
      <c r="D157" s="13" t="s">
        <v>270</v>
      </c>
      <c r="E157" s="13">
        <v>4</v>
      </c>
      <c r="F157" s="39"/>
      <c r="G157" s="50">
        <v>2.35</v>
      </c>
      <c r="H157" s="41">
        <f t="shared" si="2"/>
        <v>9.4</v>
      </c>
      <c r="I157" s="39"/>
      <c r="J157" s="39"/>
      <c r="K157" s="39"/>
      <c r="L157" s="40" t="str">
        <f>INDEX(Overview!$B$8:$B$33,MATCH('OS&amp;E_FF&amp;E'!$A157,Overview!$A$8:$A$33,0))</f>
        <v>F&amp;B: Operating Equipment F&amp;B</v>
      </c>
    </row>
    <row r="158" spans="1:12">
      <c r="A158" s="39" t="s">
        <v>22</v>
      </c>
      <c r="B158" s="84">
        <f>IF(INDEX(Overview!$C$8:$C$33,MATCH('OS&amp;E_FF&amp;E'!A158,Overview!$A$8:$A$33,0))=0,0,1)</f>
        <v>0</v>
      </c>
      <c r="C158" s="13" t="s">
        <v>272</v>
      </c>
      <c r="D158" s="13" t="s">
        <v>270</v>
      </c>
      <c r="E158" s="13">
        <v>2</v>
      </c>
      <c r="F158" s="39"/>
      <c r="G158" s="50">
        <v>1.95</v>
      </c>
      <c r="H158" s="41">
        <f t="shared" si="2"/>
        <v>3.9</v>
      </c>
      <c r="I158" s="39"/>
      <c r="J158" s="39"/>
      <c r="K158" s="39"/>
      <c r="L158" s="40" t="str">
        <f>INDEX(Overview!$B$8:$B$33,MATCH('OS&amp;E_FF&amp;E'!$A158,Overview!$A$8:$A$33,0))</f>
        <v>F&amp;B: Operating Equipment F&amp;B</v>
      </c>
    </row>
    <row r="159" spans="1:12">
      <c r="A159" s="39" t="s">
        <v>22</v>
      </c>
      <c r="B159" s="84">
        <f>IF(INDEX(Overview!$C$8:$C$33,MATCH('OS&amp;E_FF&amp;E'!A159,Overview!$A$8:$A$33,0))=0,0,1)</f>
        <v>0</v>
      </c>
      <c r="C159" s="13" t="s">
        <v>273</v>
      </c>
      <c r="D159" s="13" t="s">
        <v>270</v>
      </c>
      <c r="E159" s="13">
        <v>5</v>
      </c>
      <c r="F159" s="39"/>
      <c r="G159" s="50">
        <v>2.92</v>
      </c>
      <c r="H159" s="41">
        <f t="shared" si="2"/>
        <v>14.6</v>
      </c>
      <c r="I159" s="39"/>
      <c r="J159" s="39"/>
      <c r="K159" s="39"/>
      <c r="L159" s="40" t="str">
        <f>INDEX(Overview!$B$8:$B$33,MATCH('OS&amp;E_FF&amp;E'!$A159,Overview!$A$8:$A$33,0))</f>
        <v>F&amp;B: Operating Equipment F&amp;B</v>
      </c>
    </row>
    <row r="160" spans="1:12">
      <c r="A160" s="39" t="s">
        <v>22</v>
      </c>
      <c r="B160" s="84">
        <f>IF(INDEX(Overview!$C$8:$C$33,MATCH('OS&amp;E_FF&amp;E'!A160,Overview!$A$8:$A$33,0))=0,0,1)</f>
        <v>0</v>
      </c>
      <c r="C160" s="13" t="s">
        <v>274</v>
      </c>
      <c r="D160" s="13" t="s">
        <v>270</v>
      </c>
      <c r="E160" s="13">
        <v>4</v>
      </c>
      <c r="F160" s="39"/>
      <c r="G160" s="50">
        <v>12.85</v>
      </c>
      <c r="H160" s="41">
        <f t="shared" si="2"/>
        <v>51.4</v>
      </c>
      <c r="I160" s="39"/>
      <c r="J160" s="39"/>
      <c r="K160" s="39"/>
      <c r="L160" s="40" t="str">
        <f>INDEX(Overview!$B$8:$B$33,MATCH('OS&amp;E_FF&amp;E'!$A160,Overview!$A$8:$A$33,0))</f>
        <v>F&amp;B: Operating Equipment F&amp;B</v>
      </c>
    </row>
    <row r="161" spans="1:12">
      <c r="A161" s="39" t="s">
        <v>22</v>
      </c>
      <c r="B161" s="84">
        <f>IF(INDEX(Overview!$C$8:$C$33,MATCH('OS&amp;E_FF&amp;E'!A161,Overview!$A$8:$A$33,0))=0,0,1)</f>
        <v>0</v>
      </c>
      <c r="C161" s="13" t="s">
        <v>275</v>
      </c>
      <c r="D161" s="13" t="s">
        <v>270</v>
      </c>
      <c r="E161" s="13">
        <v>1</v>
      </c>
      <c r="F161" s="39"/>
      <c r="G161" s="50">
        <v>3.87</v>
      </c>
      <c r="H161" s="41">
        <f t="shared" si="2"/>
        <v>3.87</v>
      </c>
      <c r="I161" s="39"/>
      <c r="J161" s="39"/>
      <c r="K161" s="39"/>
      <c r="L161" s="40" t="str">
        <f>INDEX(Overview!$B$8:$B$33,MATCH('OS&amp;E_FF&amp;E'!$A161,Overview!$A$8:$A$33,0))</f>
        <v>F&amp;B: Operating Equipment F&amp;B</v>
      </c>
    </row>
    <row r="162" spans="1:12">
      <c r="A162" s="39" t="s">
        <v>22</v>
      </c>
      <c r="B162" s="84">
        <f>IF(INDEX(Overview!$C$8:$C$33,MATCH('OS&amp;E_FF&amp;E'!A162,Overview!$A$8:$A$33,0))=0,0,1)</f>
        <v>0</v>
      </c>
      <c r="C162" s="13" t="s">
        <v>276</v>
      </c>
      <c r="D162" s="13" t="s">
        <v>270</v>
      </c>
      <c r="E162" s="13">
        <v>2</v>
      </c>
      <c r="F162" s="39"/>
      <c r="G162" s="50">
        <v>15</v>
      </c>
      <c r="H162" s="41">
        <f t="shared" si="2"/>
        <v>30</v>
      </c>
      <c r="I162" s="39"/>
      <c r="J162" s="39"/>
      <c r="K162" s="39"/>
      <c r="L162" s="40" t="str">
        <f>INDEX(Overview!$B$8:$B$33,MATCH('OS&amp;E_FF&amp;E'!$A162,Overview!$A$8:$A$33,0))</f>
        <v>F&amp;B: Operating Equipment F&amp;B</v>
      </c>
    </row>
    <row r="163" spans="1:12">
      <c r="A163" s="39" t="s">
        <v>22</v>
      </c>
      <c r="B163" s="84">
        <f>IF(INDEX(Overview!$C$8:$C$33,MATCH('OS&amp;E_FF&amp;E'!A163,Overview!$A$8:$A$33,0))=0,0,1)</f>
        <v>0</v>
      </c>
      <c r="C163" s="13" t="s">
        <v>277</v>
      </c>
      <c r="D163" s="13" t="s">
        <v>270</v>
      </c>
      <c r="E163" s="13">
        <v>2</v>
      </c>
      <c r="F163" s="39"/>
      <c r="G163" s="50">
        <v>5</v>
      </c>
      <c r="H163" s="41">
        <f t="shared" si="2"/>
        <v>10</v>
      </c>
      <c r="I163" s="39"/>
      <c r="J163" s="39"/>
      <c r="K163" s="39"/>
      <c r="L163" s="40" t="str">
        <f>INDEX(Overview!$B$8:$B$33,MATCH('OS&amp;E_FF&amp;E'!$A163,Overview!$A$8:$A$33,0))</f>
        <v>F&amp;B: Operating Equipment F&amp;B</v>
      </c>
    </row>
    <row r="164" spans="1:12">
      <c r="A164" s="39" t="s">
        <v>22</v>
      </c>
      <c r="B164" s="84">
        <f>IF(INDEX(Overview!$C$8:$C$33,MATCH('OS&amp;E_FF&amp;E'!A164,Overview!$A$8:$A$33,0))=0,0,1)</f>
        <v>0</v>
      </c>
      <c r="C164" s="13" t="s">
        <v>278</v>
      </c>
      <c r="D164" s="13" t="s">
        <v>270</v>
      </c>
      <c r="E164" s="13">
        <v>2</v>
      </c>
      <c r="F164" s="39"/>
      <c r="G164" s="50">
        <v>5</v>
      </c>
      <c r="H164" s="41">
        <f t="shared" si="2"/>
        <v>10</v>
      </c>
      <c r="I164" s="39"/>
      <c r="J164" s="39"/>
      <c r="K164" s="39"/>
      <c r="L164" s="40" t="str">
        <f>INDEX(Overview!$B$8:$B$33,MATCH('OS&amp;E_FF&amp;E'!$A164,Overview!$A$8:$A$33,0))</f>
        <v>F&amp;B: Operating Equipment F&amp;B</v>
      </c>
    </row>
    <row r="165" spans="1:12">
      <c r="A165" s="39" t="s">
        <v>22</v>
      </c>
      <c r="B165" s="84">
        <f>IF(INDEX(Overview!$C$8:$C$33,MATCH('OS&amp;E_FF&amp;E'!A165,Overview!$A$8:$A$33,0))=0,0,1)</f>
        <v>0</v>
      </c>
      <c r="C165" s="13" t="s">
        <v>201</v>
      </c>
      <c r="D165" s="13" t="s">
        <v>279</v>
      </c>
      <c r="E165" s="13">
        <v>20</v>
      </c>
      <c r="F165" s="39"/>
      <c r="G165" s="50">
        <v>1.67</v>
      </c>
      <c r="H165" s="41">
        <f t="shared" si="2"/>
        <v>33.4</v>
      </c>
      <c r="I165" s="39"/>
      <c r="J165" s="39"/>
      <c r="K165" s="39"/>
      <c r="L165" s="40" t="str">
        <f>INDEX(Overview!$B$8:$B$33,MATCH('OS&amp;E_FF&amp;E'!$A165,Overview!$A$8:$A$33,0))</f>
        <v>F&amp;B: Operating Equipment F&amp;B</v>
      </c>
    </row>
    <row r="166" spans="1:12">
      <c r="A166" s="39" t="s">
        <v>22</v>
      </c>
      <c r="B166" s="84">
        <f>IF(INDEX(Overview!$C$8:$C$33,MATCH('OS&amp;E_FF&amp;E'!A166,Overview!$A$8:$A$33,0))=0,0,1)</f>
        <v>0</v>
      </c>
      <c r="C166" s="13" t="s">
        <v>203</v>
      </c>
      <c r="D166" s="13" t="s">
        <v>279</v>
      </c>
      <c r="E166" s="13">
        <v>30</v>
      </c>
      <c r="F166" s="39"/>
      <c r="G166" s="50">
        <v>2.42</v>
      </c>
      <c r="H166" s="41">
        <f t="shared" si="2"/>
        <v>72.599999999999994</v>
      </c>
      <c r="I166" s="39"/>
      <c r="J166" s="39"/>
      <c r="K166" s="39"/>
      <c r="L166" s="40" t="str">
        <f>INDEX(Overview!$B$8:$B$33,MATCH('OS&amp;E_FF&amp;E'!$A166,Overview!$A$8:$A$33,0))</f>
        <v>F&amp;B: Operating Equipment F&amp;B</v>
      </c>
    </row>
    <row r="167" spans="1:12">
      <c r="A167" s="39" t="s">
        <v>22</v>
      </c>
      <c r="B167" s="84">
        <f>IF(INDEX(Overview!$C$8:$C$33,MATCH('OS&amp;E_FF&amp;E'!A167,Overview!$A$8:$A$33,0))=0,0,1)</f>
        <v>0</v>
      </c>
      <c r="C167" s="13" t="s">
        <v>280</v>
      </c>
      <c r="D167" s="13" t="s">
        <v>279</v>
      </c>
      <c r="E167" s="13">
        <v>10</v>
      </c>
      <c r="F167" s="39"/>
      <c r="G167" s="50">
        <v>3.98</v>
      </c>
      <c r="H167" s="41">
        <f t="shared" si="2"/>
        <v>39.799999999999997</v>
      </c>
      <c r="I167" s="39"/>
      <c r="J167" s="39"/>
      <c r="K167" s="39"/>
      <c r="L167" s="40" t="str">
        <f>INDEX(Overview!$B$8:$B$33,MATCH('OS&amp;E_FF&amp;E'!$A167,Overview!$A$8:$A$33,0))</f>
        <v>F&amp;B: Operating Equipment F&amp;B</v>
      </c>
    </row>
    <row r="168" spans="1:12">
      <c r="A168" s="39" t="s">
        <v>22</v>
      </c>
      <c r="B168" s="84">
        <f>IF(INDEX(Overview!$C$8:$C$33,MATCH('OS&amp;E_FF&amp;E'!A168,Overview!$A$8:$A$33,0))=0,0,1)</f>
        <v>0</v>
      </c>
      <c r="C168" s="13" t="s">
        <v>281</v>
      </c>
      <c r="D168" s="13" t="s">
        <v>279</v>
      </c>
      <c r="E168" s="13">
        <v>1</v>
      </c>
      <c r="F168" s="39"/>
      <c r="G168" s="50">
        <v>555.80999999999995</v>
      </c>
      <c r="H168" s="41">
        <f t="shared" si="2"/>
        <v>555.80999999999995</v>
      </c>
      <c r="I168" s="39"/>
      <c r="J168" s="39"/>
      <c r="K168" s="39"/>
      <c r="L168" s="40" t="str">
        <f>INDEX(Overview!$B$8:$B$33,MATCH('OS&amp;E_FF&amp;E'!$A168,Overview!$A$8:$A$33,0))</f>
        <v>F&amp;B: Operating Equipment F&amp;B</v>
      </c>
    </row>
    <row r="169" spans="1:12">
      <c r="A169" s="39" t="s">
        <v>22</v>
      </c>
      <c r="B169" s="84">
        <f>IF(INDEX(Overview!$C$8:$C$33,MATCH('OS&amp;E_FF&amp;E'!A169,Overview!$A$8:$A$33,0))=0,0,1)</f>
        <v>0</v>
      </c>
      <c r="C169" s="13" t="s">
        <v>282</v>
      </c>
      <c r="D169" s="13" t="s">
        <v>279</v>
      </c>
      <c r="E169" s="13">
        <v>2</v>
      </c>
      <c r="F169" s="39"/>
      <c r="G169" s="50">
        <v>29.05</v>
      </c>
      <c r="H169" s="41">
        <f t="shared" si="2"/>
        <v>58.1</v>
      </c>
      <c r="I169" s="39"/>
      <c r="J169" s="39"/>
      <c r="K169" s="39"/>
      <c r="L169" s="40" t="str">
        <f>INDEX(Overview!$B$8:$B$33,MATCH('OS&amp;E_FF&amp;E'!$A169,Overview!$A$8:$A$33,0))</f>
        <v>F&amp;B: Operating Equipment F&amp;B</v>
      </c>
    </row>
    <row r="170" spans="1:12">
      <c r="A170" s="39" t="s">
        <v>22</v>
      </c>
      <c r="B170" s="84">
        <f>IF(INDEX(Overview!$C$8:$C$33,MATCH('OS&amp;E_FF&amp;E'!A170,Overview!$A$8:$A$33,0))=0,0,1)</f>
        <v>0</v>
      </c>
      <c r="C170" s="13" t="s">
        <v>283</v>
      </c>
      <c r="D170" s="13" t="s">
        <v>279</v>
      </c>
      <c r="E170" s="13">
        <v>1</v>
      </c>
      <c r="F170" s="39"/>
      <c r="G170" s="50">
        <v>416.16</v>
      </c>
      <c r="H170" s="41">
        <f t="shared" si="2"/>
        <v>416.16</v>
      </c>
      <c r="I170" s="39"/>
      <c r="J170" s="39"/>
      <c r="K170" s="39"/>
      <c r="L170" s="40" t="str">
        <f>INDEX(Overview!$B$8:$B$33,MATCH('OS&amp;E_FF&amp;E'!$A170,Overview!$A$8:$A$33,0))</f>
        <v>F&amp;B: Operating Equipment F&amp;B</v>
      </c>
    </row>
    <row r="171" spans="1:12">
      <c r="A171" s="39" t="s">
        <v>22</v>
      </c>
      <c r="B171" s="84">
        <f>IF(INDEX(Overview!$C$8:$C$33,MATCH('OS&amp;E_FF&amp;E'!A171,Overview!$A$8:$A$33,0))=0,0,1)</f>
        <v>0</v>
      </c>
      <c r="C171" s="13" t="s">
        <v>284</v>
      </c>
      <c r="D171" s="13" t="s">
        <v>279</v>
      </c>
      <c r="E171" s="13">
        <v>2</v>
      </c>
      <c r="F171" s="39"/>
      <c r="G171" s="50">
        <v>5.7</v>
      </c>
      <c r="H171" s="41">
        <f t="shared" si="2"/>
        <v>11.4</v>
      </c>
      <c r="I171" s="39"/>
      <c r="J171" s="39"/>
      <c r="K171" s="39"/>
      <c r="L171" s="40" t="str">
        <f>INDEX(Overview!$B$8:$B$33,MATCH('OS&amp;E_FF&amp;E'!$A171,Overview!$A$8:$A$33,0))</f>
        <v>F&amp;B: Operating Equipment F&amp;B</v>
      </c>
    </row>
    <row r="172" spans="1:12">
      <c r="A172" s="39" t="s">
        <v>22</v>
      </c>
      <c r="B172" s="84">
        <f>IF(INDEX(Overview!$C$8:$C$33,MATCH('OS&amp;E_FF&amp;E'!A172,Overview!$A$8:$A$33,0))=0,0,1)</f>
        <v>0</v>
      </c>
      <c r="C172" s="13" t="s">
        <v>285</v>
      </c>
      <c r="D172" s="13" t="s">
        <v>279</v>
      </c>
      <c r="E172" s="13">
        <v>1</v>
      </c>
      <c r="F172" s="39"/>
      <c r="G172" s="50">
        <v>26.9</v>
      </c>
      <c r="H172" s="41">
        <f t="shared" si="2"/>
        <v>26.9</v>
      </c>
      <c r="I172" s="39"/>
      <c r="J172" s="39"/>
      <c r="K172" s="39"/>
      <c r="L172" s="40" t="str">
        <f>INDEX(Overview!$B$8:$B$33,MATCH('OS&amp;E_FF&amp;E'!$A172,Overview!$A$8:$A$33,0))</f>
        <v>F&amp;B: Operating Equipment F&amp;B</v>
      </c>
    </row>
    <row r="173" spans="1:12">
      <c r="A173" s="39" t="s">
        <v>22</v>
      </c>
      <c r="B173" s="84">
        <f>IF(INDEX(Overview!$C$8:$C$33,MATCH('OS&amp;E_FF&amp;E'!A173,Overview!$A$8:$A$33,0))=0,0,1)</f>
        <v>0</v>
      </c>
      <c r="C173" s="13" t="s">
        <v>286</v>
      </c>
      <c r="D173" s="13" t="s">
        <v>279</v>
      </c>
      <c r="E173" s="13">
        <v>4</v>
      </c>
      <c r="F173" s="39"/>
      <c r="G173" s="50">
        <v>20</v>
      </c>
      <c r="H173" s="41">
        <f t="shared" si="2"/>
        <v>80</v>
      </c>
      <c r="I173" s="39"/>
      <c r="J173" s="39"/>
      <c r="K173" s="39"/>
      <c r="L173" s="40" t="str">
        <f>INDEX(Overview!$B$8:$B$33,MATCH('OS&amp;E_FF&amp;E'!$A173,Overview!$A$8:$A$33,0))</f>
        <v>F&amp;B: Operating Equipment F&amp;B</v>
      </c>
    </row>
    <row r="174" spans="1:12">
      <c r="A174" s="39" t="s">
        <v>22</v>
      </c>
      <c r="B174" s="84">
        <f>IF(INDEX(Overview!$C$8:$C$33,MATCH('OS&amp;E_FF&amp;E'!A174,Overview!$A$8:$A$33,0))=0,0,1)</f>
        <v>0</v>
      </c>
      <c r="C174" s="13" t="s">
        <v>287</v>
      </c>
      <c r="D174" s="13" t="s">
        <v>279</v>
      </c>
      <c r="E174" s="13">
        <v>5</v>
      </c>
      <c r="F174" s="39"/>
      <c r="G174" s="50">
        <v>20.11</v>
      </c>
      <c r="H174" s="41">
        <f t="shared" si="2"/>
        <v>100.55</v>
      </c>
      <c r="I174" s="39"/>
      <c r="J174" s="39"/>
      <c r="K174" s="39"/>
      <c r="L174" s="40" t="str">
        <f>INDEX(Overview!$B$8:$B$33,MATCH('OS&amp;E_FF&amp;E'!$A174,Overview!$A$8:$A$33,0))</f>
        <v>F&amp;B: Operating Equipment F&amp;B</v>
      </c>
    </row>
    <row r="175" spans="1:12">
      <c r="A175" s="39" t="s">
        <v>22</v>
      </c>
      <c r="B175" s="84">
        <f>IF(INDEX(Overview!$C$8:$C$33,MATCH('OS&amp;E_FF&amp;E'!A175,Overview!$A$8:$A$33,0))=0,0,1)</f>
        <v>0</v>
      </c>
      <c r="C175" s="13" t="s">
        <v>288</v>
      </c>
      <c r="D175" s="13" t="s">
        <v>279</v>
      </c>
      <c r="E175" s="13">
        <v>1</v>
      </c>
      <c r="F175" s="39"/>
      <c r="G175" s="50"/>
      <c r="H175" s="41">
        <f t="shared" si="2"/>
        <v>0</v>
      </c>
      <c r="I175" s="39"/>
      <c r="J175" s="39"/>
      <c r="K175" s="39"/>
      <c r="L175" s="40" t="str">
        <f>INDEX(Overview!$B$8:$B$33,MATCH('OS&amp;E_FF&amp;E'!$A175,Overview!$A$8:$A$33,0))</f>
        <v>F&amp;B: Operating Equipment F&amp;B</v>
      </c>
    </row>
    <row r="176" spans="1:12">
      <c r="A176" s="39" t="s">
        <v>22</v>
      </c>
      <c r="B176" s="84">
        <f>IF(INDEX(Overview!$C$8:$C$33,MATCH('OS&amp;E_FF&amp;E'!A176,Overview!$A$8:$A$33,0))=0,0,1)</f>
        <v>0</v>
      </c>
      <c r="C176" s="13" t="s">
        <v>289</v>
      </c>
      <c r="D176" s="13" t="s">
        <v>279</v>
      </c>
      <c r="E176" s="13">
        <v>10</v>
      </c>
      <c r="F176" s="39"/>
      <c r="G176" s="50">
        <v>20.95</v>
      </c>
      <c r="H176" s="41">
        <f t="shared" si="2"/>
        <v>209.5</v>
      </c>
      <c r="I176" s="39"/>
      <c r="J176" s="39"/>
      <c r="K176" s="39"/>
      <c r="L176" s="40" t="str">
        <f>INDEX(Overview!$B$8:$B$33,MATCH('OS&amp;E_FF&amp;E'!$A176,Overview!$A$8:$A$33,0))</f>
        <v>F&amp;B: Operating Equipment F&amp;B</v>
      </c>
    </row>
    <row r="177" spans="1:12">
      <c r="A177" s="39" t="s">
        <v>22</v>
      </c>
      <c r="B177" s="84">
        <f>IF(INDEX(Overview!$C$8:$C$33,MATCH('OS&amp;E_FF&amp;E'!A177,Overview!$A$8:$A$33,0))=0,0,1)</f>
        <v>0</v>
      </c>
      <c r="C177" s="13" t="s">
        <v>290</v>
      </c>
      <c r="D177" s="13" t="s">
        <v>279</v>
      </c>
      <c r="E177" s="13">
        <v>1</v>
      </c>
      <c r="F177" s="39"/>
      <c r="G177" s="50">
        <v>19.52</v>
      </c>
      <c r="H177" s="41">
        <f t="shared" si="2"/>
        <v>19.52</v>
      </c>
      <c r="I177" s="39"/>
      <c r="J177" s="39"/>
      <c r="K177" s="39"/>
      <c r="L177" s="40" t="str">
        <f>INDEX(Overview!$B$8:$B$33,MATCH('OS&amp;E_FF&amp;E'!$A177,Overview!$A$8:$A$33,0))</f>
        <v>F&amp;B: Operating Equipment F&amp;B</v>
      </c>
    </row>
    <row r="178" spans="1:12">
      <c r="A178" s="39" t="s">
        <v>22</v>
      </c>
      <c r="B178" s="84">
        <f>IF(INDEX(Overview!$C$8:$C$33,MATCH('OS&amp;E_FF&amp;E'!A178,Overview!$A$8:$A$33,0))=0,0,1)</f>
        <v>0</v>
      </c>
      <c r="C178" s="13" t="s">
        <v>291</v>
      </c>
      <c r="D178" s="13" t="s">
        <v>279</v>
      </c>
      <c r="E178" s="13">
        <v>20</v>
      </c>
      <c r="F178" s="39"/>
      <c r="G178" s="50">
        <v>2.95</v>
      </c>
      <c r="H178" s="41">
        <f t="shared" si="2"/>
        <v>59</v>
      </c>
      <c r="I178" s="39"/>
      <c r="J178" s="39"/>
      <c r="K178" s="39"/>
      <c r="L178" s="40" t="str">
        <f>INDEX(Overview!$B$8:$B$33,MATCH('OS&amp;E_FF&amp;E'!$A178,Overview!$A$8:$A$33,0))</f>
        <v>F&amp;B: Operating Equipment F&amp;B</v>
      </c>
    </row>
    <row r="179" spans="1:12">
      <c r="A179" s="39" t="s">
        <v>22</v>
      </c>
      <c r="B179" s="84">
        <f>IF(INDEX(Overview!$C$8:$C$33,MATCH('OS&amp;E_FF&amp;E'!A179,Overview!$A$8:$A$33,0))=0,0,1)</f>
        <v>0</v>
      </c>
      <c r="C179" s="13" t="s">
        <v>292</v>
      </c>
      <c r="D179" s="13" t="s">
        <v>279</v>
      </c>
      <c r="E179" s="13">
        <v>2</v>
      </c>
      <c r="F179" s="39"/>
      <c r="G179" s="50">
        <v>5.44</v>
      </c>
      <c r="H179" s="41">
        <f t="shared" si="2"/>
        <v>10.88</v>
      </c>
      <c r="I179" s="39"/>
      <c r="J179" s="39"/>
      <c r="K179" s="39"/>
      <c r="L179" s="40" t="str">
        <f>INDEX(Overview!$B$8:$B$33,MATCH('OS&amp;E_FF&amp;E'!$A179,Overview!$A$8:$A$33,0))</f>
        <v>F&amp;B: Operating Equipment F&amp;B</v>
      </c>
    </row>
    <row r="180" spans="1:12">
      <c r="A180" s="39" t="s">
        <v>22</v>
      </c>
      <c r="B180" s="84">
        <f>IF(INDEX(Overview!$C$8:$C$33,MATCH('OS&amp;E_FF&amp;E'!A180,Overview!$A$8:$A$33,0))=0,0,1)</f>
        <v>0</v>
      </c>
      <c r="C180" s="13" t="s">
        <v>293</v>
      </c>
      <c r="D180" s="13" t="s">
        <v>279</v>
      </c>
      <c r="E180" s="13">
        <v>2</v>
      </c>
      <c r="F180" s="39"/>
      <c r="G180" s="50">
        <v>5.86</v>
      </c>
      <c r="H180" s="41">
        <f t="shared" si="2"/>
        <v>11.72</v>
      </c>
      <c r="I180" s="39"/>
      <c r="J180" s="39"/>
      <c r="K180" s="39"/>
      <c r="L180" s="40" t="str">
        <f>INDEX(Overview!$B$8:$B$33,MATCH('OS&amp;E_FF&amp;E'!$A180,Overview!$A$8:$A$33,0))</f>
        <v>F&amp;B: Operating Equipment F&amp;B</v>
      </c>
    </row>
    <row r="181" spans="1:12">
      <c r="A181" s="39" t="s">
        <v>22</v>
      </c>
      <c r="B181" s="84">
        <f>IF(INDEX(Overview!$C$8:$C$33,MATCH('OS&amp;E_FF&amp;E'!A181,Overview!$A$8:$A$33,0))=0,0,1)</f>
        <v>0</v>
      </c>
      <c r="C181" s="13" t="s">
        <v>294</v>
      </c>
      <c r="D181" s="13" t="s">
        <v>279</v>
      </c>
      <c r="E181" s="13">
        <v>2</v>
      </c>
      <c r="F181" s="39"/>
      <c r="G181" s="50">
        <v>15.36</v>
      </c>
      <c r="H181" s="41">
        <f t="shared" si="2"/>
        <v>30.72</v>
      </c>
      <c r="I181" s="39"/>
      <c r="J181" s="39"/>
      <c r="K181" s="39"/>
      <c r="L181" s="40" t="str">
        <f>INDEX(Overview!$B$8:$B$33,MATCH('OS&amp;E_FF&amp;E'!$A181,Overview!$A$8:$A$33,0))</f>
        <v>F&amp;B: Operating Equipment F&amp;B</v>
      </c>
    </row>
    <row r="182" spans="1:12">
      <c r="A182" s="39" t="s">
        <v>22</v>
      </c>
      <c r="B182" s="84">
        <f>IF(INDEX(Overview!$C$8:$C$33,MATCH('OS&amp;E_FF&amp;E'!A182,Overview!$A$8:$A$33,0))=0,0,1)</f>
        <v>0</v>
      </c>
      <c r="C182" s="13" t="s">
        <v>295</v>
      </c>
      <c r="D182" s="13" t="s">
        <v>279</v>
      </c>
      <c r="E182" s="13">
        <v>4</v>
      </c>
      <c r="F182" s="39"/>
      <c r="G182" s="50">
        <v>32.5</v>
      </c>
      <c r="H182" s="41">
        <f t="shared" si="2"/>
        <v>130</v>
      </c>
      <c r="I182" s="39"/>
      <c r="J182" s="39"/>
      <c r="K182" s="39"/>
      <c r="L182" s="40" t="str">
        <f>INDEX(Overview!$B$8:$B$33,MATCH('OS&amp;E_FF&amp;E'!$A182,Overview!$A$8:$A$33,0))</f>
        <v>F&amp;B: Operating Equipment F&amp;B</v>
      </c>
    </row>
    <row r="183" spans="1:12">
      <c r="A183" s="39" t="s">
        <v>22</v>
      </c>
      <c r="B183" s="84">
        <f>IF(INDEX(Overview!$C$8:$C$33,MATCH('OS&amp;E_FF&amp;E'!A183,Overview!$A$8:$A$33,0))=0,0,1)</f>
        <v>0</v>
      </c>
      <c r="C183" s="13" t="s">
        <v>296</v>
      </c>
      <c r="D183" s="13" t="s">
        <v>279</v>
      </c>
      <c r="E183" s="13">
        <v>1</v>
      </c>
      <c r="F183" s="39"/>
      <c r="G183" s="50">
        <v>178.2</v>
      </c>
      <c r="H183" s="41">
        <f t="shared" si="2"/>
        <v>178.2</v>
      </c>
      <c r="I183" s="39"/>
      <c r="J183" s="39"/>
      <c r="K183" s="39"/>
      <c r="L183" s="40" t="str">
        <f>INDEX(Overview!$B$8:$B$33,MATCH('OS&amp;E_FF&amp;E'!$A183,Overview!$A$8:$A$33,0))</f>
        <v>F&amp;B: Operating Equipment F&amp;B</v>
      </c>
    </row>
    <row r="184" spans="1:12">
      <c r="A184" s="39" t="s">
        <v>22</v>
      </c>
      <c r="B184" s="84">
        <f>IF(INDEX(Overview!$C$8:$C$33,MATCH('OS&amp;E_FF&amp;E'!A184,Overview!$A$8:$A$33,0))=0,0,1)</f>
        <v>0</v>
      </c>
      <c r="C184" s="13" t="s">
        <v>297</v>
      </c>
      <c r="D184" s="13" t="s">
        <v>279</v>
      </c>
      <c r="E184" s="13">
        <v>4</v>
      </c>
      <c r="F184" s="39"/>
      <c r="G184" s="50">
        <v>32.07</v>
      </c>
      <c r="H184" s="41">
        <f t="shared" si="2"/>
        <v>128.28</v>
      </c>
      <c r="I184" s="39"/>
      <c r="J184" s="39"/>
      <c r="K184" s="39"/>
      <c r="L184" s="40" t="str">
        <f>INDEX(Overview!$B$8:$B$33,MATCH('OS&amp;E_FF&amp;E'!$A184,Overview!$A$8:$A$33,0))</f>
        <v>F&amp;B: Operating Equipment F&amp;B</v>
      </c>
    </row>
    <row r="185" spans="1:12">
      <c r="A185" s="39" t="s">
        <v>22</v>
      </c>
      <c r="B185" s="84">
        <f>IF(INDEX(Overview!$C$8:$C$33,MATCH('OS&amp;E_FF&amp;E'!A185,Overview!$A$8:$A$33,0))=0,0,1)</f>
        <v>0</v>
      </c>
      <c r="C185" s="13" t="s">
        <v>298</v>
      </c>
      <c r="D185" s="13" t="s">
        <v>279</v>
      </c>
      <c r="E185" s="13">
        <v>1</v>
      </c>
      <c r="F185" s="39"/>
      <c r="G185" s="50">
        <v>8.2200000000000006</v>
      </c>
      <c r="H185" s="41">
        <f t="shared" si="2"/>
        <v>8.2200000000000006</v>
      </c>
      <c r="I185" s="39"/>
      <c r="J185" s="39"/>
      <c r="K185" s="39"/>
      <c r="L185" s="40" t="str">
        <f>INDEX(Overview!$B$8:$B$33,MATCH('OS&amp;E_FF&amp;E'!$A185,Overview!$A$8:$A$33,0))</f>
        <v>F&amp;B: Operating Equipment F&amp;B</v>
      </c>
    </row>
    <row r="186" spans="1:12">
      <c r="A186" s="39" t="s">
        <v>22</v>
      </c>
      <c r="B186" s="84">
        <f>IF(INDEX(Overview!$C$8:$C$33,MATCH('OS&amp;E_FF&amp;E'!A186,Overview!$A$8:$A$33,0))=0,0,1)</f>
        <v>0</v>
      </c>
      <c r="C186" s="13" t="s">
        <v>265</v>
      </c>
      <c r="D186" s="13" t="s">
        <v>279</v>
      </c>
      <c r="E186" s="13">
        <v>1</v>
      </c>
      <c r="F186" s="39"/>
      <c r="G186" s="50">
        <v>3.67</v>
      </c>
      <c r="H186" s="41">
        <f t="shared" si="2"/>
        <v>3.67</v>
      </c>
      <c r="I186" s="39"/>
      <c r="J186" s="39"/>
      <c r="K186" s="39"/>
      <c r="L186" s="40" t="str">
        <f>INDEX(Overview!$B$8:$B$33,MATCH('OS&amp;E_FF&amp;E'!$A186,Overview!$A$8:$A$33,0))</f>
        <v>F&amp;B: Operating Equipment F&amp;B</v>
      </c>
    </row>
    <row r="187" spans="1:12">
      <c r="A187" s="39" t="s">
        <v>22</v>
      </c>
      <c r="B187" s="84">
        <f>IF(INDEX(Overview!$C$8:$C$33,MATCH('OS&amp;E_FF&amp;E'!A187,Overview!$A$8:$A$33,0))=0,0,1)</f>
        <v>0</v>
      </c>
      <c r="C187" s="13" t="s">
        <v>299</v>
      </c>
      <c r="D187" s="13" t="s">
        <v>279</v>
      </c>
      <c r="E187" s="13">
        <v>1</v>
      </c>
      <c r="F187" s="39"/>
      <c r="G187" s="50">
        <v>30.98</v>
      </c>
      <c r="H187" s="41">
        <f t="shared" si="2"/>
        <v>30.98</v>
      </c>
      <c r="I187" s="39"/>
      <c r="J187" s="39"/>
      <c r="K187" s="39"/>
      <c r="L187" s="40" t="str">
        <f>INDEX(Overview!$B$8:$B$33,MATCH('OS&amp;E_FF&amp;E'!$A187,Overview!$A$8:$A$33,0))</f>
        <v>F&amp;B: Operating Equipment F&amp;B</v>
      </c>
    </row>
    <row r="188" spans="1:12">
      <c r="A188" s="39" t="s">
        <v>22</v>
      </c>
      <c r="B188" s="84">
        <f>IF(INDEX(Overview!$C$8:$C$33,MATCH('OS&amp;E_FF&amp;E'!A188,Overview!$A$8:$A$33,0))=0,0,1)</f>
        <v>0</v>
      </c>
      <c r="C188" s="13" t="s">
        <v>300</v>
      </c>
      <c r="D188" s="13" t="s">
        <v>279</v>
      </c>
      <c r="E188" s="13">
        <v>5</v>
      </c>
      <c r="F188" s="39"/>
      <c r="G188" s="50">
        <v>6.12</v>
      </c>
      <c r="H188" s="41">
        <f t="shared" si="2"/>
        <v>30.6</v>
      </c>
      <c r="I188" s="39"/>
      <c r="J188" s="39"/>
      <c r="K188" s="39"/>
      <c r="L188" s="40" t="str">
        <f>INDEX(Overview!$B$8:$B$33,MATCH('OS&amp;E_FF&amp;E'!$A188,Overview!$A$8:$A$33,0))</f>
        <v>F&amp;B: Operating Equipment F&amp;B</v>
      </c>
    </row>
    <row r="189" spans="1:12">
      <c r="A189" s="39" t="s">
        <v>22</v>
      </c>
      <c r="B189" s="84">
        <f>IF(INDEX(Overview!$C$8:$C$33,MATCH('OS&amp;E_FF&amp;E'!A189,Overview!$A$8:$A$33,0))=0,0,1)</f>
        <v>0</v>
      </c>
      <c r="C189" s="13" t="s">
        <v>301</v>
      </c>
      <c r="D189" s="13" t="s">
        <v>279</v>
      </c>
      <c r="E189" s="13">
        <v>1</v>
      </c>
      <c r="F189" s="39"/>
      <c r="G189" s="50">
        <v>34.07</v>
      </c>
      <c r="H189" s="41">
        <f t="shared" si="2"/>
        <v>34.07</v>
      </c>
      <c r="I189" s="39"/>
      <c r="J189" s="39"/>
      <c r="K189" s="39"/>
      <c r="L189" s="40" t="str">
        <f>INDEX(Overview!$B$8:$B$33,MATCH('OS&amp;E_FF&amp;E'!$A189,Overview!$A$8:$A$33,0))</f>
        <v>F&amp;B: Operating Equipment F&amp;B</v>
      </c>
    </row>
    <row r="190" spans="1:12">
      <c r="A190" s="39" t="s">
        <v>22</v>
      </c>
      <c r="B190" s="84">
        <f>IF(INDEX(Overview!$C$8:$C$33,MATCH('OS&amp;E_FF&amp;E'!A190,Overview!$A$8:$A$33,0))=0,0,1)</f>
        <v>0</v>
      </c>
      <c r="C190" s="13" t="s">
        <v>302</v>
      </c>
      <c r="D190" s="13" t="s">
        <v>279</v>
      </c>
      <c r="E190" s="13">
        <v>1</v>
      </c>
      <c r="F190" s="39"/>
      <c r="G190" s="50">
        <v>5.35</v>
      </c>
      <c r="H190" s="41">
        <f t="shared" si="2"/>
        <v>5.35</v>
      </c>
      <c r="I190" s="39"/>
      <c r="J190" s="39"/>
      <c r="K190" s="39"/>
      <c r="L190" s="40" t="str">
        <f>INDEX(Overview!$B$8:$B$33,MATCH('OS&amp;E_FF&amp;E'!$A190,Overview!$A$8:$A$33,0))</f>
        <v>F&amp;B: Operating Equipment F&amp;B</v>
      </c>
    </row>
    <row r="191" spans="1:12">
      <c r="A191" s="39" t="s">
        <v>22</v>
      </c>
      <c r="B191" s="84">
        <f>IF(INDEX(Overview!$C$8:$C$33,MATCH('OS&amp;E_FF&amp;E'!A191,Overview!$A$8:$A$33,0))=0,0,1)</f>
        <v>0</v>
      </c>
      <c r="C191" s="13" t="s">
        <v>303</v>
      </c>
      <c r="D191" s="13" t="s">
        <v>279</v>
      </c>
      <c r="E191" s="13">
        <v>1</v>
      </c>
      <c r="F191" s="39"/>
      <c r="G191" s="50">
        <v>217.3</v>
      </c>
      <c r="H191" s="41">
        <f t="shared" si="2"/>
        <v>217.3</v>
      </c>
      <c r="I191" s="39"/>
      <c r="J191" s="39"/>
      <c r="K191" s="39"/>
      <c r="L191" s="40" t="str">
        <f>INDEX(Overview!$B$8:$B$33,MATCH('OS&amp;E_FF&amp;E'!$A191,Overview!$A$8:$A$33,0))</f>
        <v>F&amp;B: Operating Equipment F&amp;B</v>
      </c>
    </row>
    <row r="192" spans="1:12">
      <c r="A192" s="39" t="s">
        <v>22</v>
      </c>
      <c r="B192" s="84">
        <f>IF(INDEX(Overview!$C$8:$C$33,MATCH('OS&amp;E_FF&amp;E'!A192,Overview!$A$8:$A$33,0))=0,0,1)</f>
        <v>0</v>
      </c>
      <c r="C192" s="13" t="s">
        <v>304</v>
      </c>
      <c r="D192" s="13" t="s">
        <v>279</v>
      </c>
      <c r="E192" s="13">
        <v>2</v>
      </c>
      <c r="F192" s="39"/>
      <c r="G192" s="50">
        <v>20.11</v>
      </c>
      <c r="H192" s="41">
        <f t="shared" si="2"/>
        <v>40.22</v>
      </c>
      <c r="I192" s="39"/>
      <c r="J192" s="39"/>
      <c r="K192" s="39"/>
      <c r="L192" s="40" t="str">
        <f>INDEX(Overview!$B$8:$B$33,MATCH('OS&amp;E_FF&amp;E'!$A192,Overview!$A$8:$A$33,0))</f>
        <v>F&amp;B: Operating Equipment F&amp;B</v>
      </c>
    </row>
    <row r="193" spans="1:12">
      <c r="A193" s="39" t="s">
        <v>22</v>
      </c>
      <c r="B193" s="84">
        <f>IF(INDEX(Overview!$C$8:$C$33,MATCH('OS&amp;E_FF&amp;E'!A193,Overview!$A$8:$A$33,0))=0,0,1)</f>
        <v>0</v>
      </c>
      <c r="C193" s="13" t="s">
        <v>305</v>
      </c>
      <c r="D193" s="13" t="s">
        <v>279</v>
      </c>
      <c r="E193" s="13">
        <v>1</v>
      </c>
      <c r="F193" s="39"/>
      <c r="G193" s="50">
        <v>7.24</v>
      </c>
      <c r="H193" s="41">
        <f t="shared" si="2"/>
        <v>7.24</v>
      </c>
      <c r="I193" s="39"/>
      <c r="J193" s="39"/>
      <c r="K193" s="39"/>
      <c r="L193" s="40" t="str">
        <f>INDEX(Overview!$B$8:$B$33,MATCH('OS&amp;E_FF&amp;E'!$A193,Overview!$A$8:$A$33,0))</f>
        <v>F&amp;B: Operating Equipment F&amp;B</v>
      </c>
    </row>
    <row r="194" spans="1:12">
      <c r="A194" s="39" t="s">
        <v>22</v>
      </c>
      <c r="B194" s="84">
        <f>IF(INDEX(Overview!$C$8:$C$33,MATCH('OS&amp;E_FF&amp;E'!A194,Overview!$A$8:$A$33,0))=0,0,1)</f>
        <v>0</v>
      </c>
      <c r="C194" s="13" t="s">
        <v>306</v>
      </c>
      <c r="D194" s="13" t="s">
        <v>279</v>
      </c>
      <c r="E194" s="13">
        <v>5</v>
      </c>
      <c r="F194" s="39"/>
      <c r="G194" s="50">
        <v>21.22</v>
      </c>
      <c r="H194" s="41">
        <f t="shared" ref="H194:H257" si="3">E194*G194</f>
        <v>106.1</v>
      </c>
      <c r="I194" s="39"/>
      <c r="J194" s="39"/>
      <c r="K194" s="39"/>
      <c r="L194" s="40" t="str">
        <f>INDEX(Overview!$B$8:$B$33,MATCH('OS&amp;E_FF&amp;E'!$A194,Overview!$A$8:$A$33,0))</f>
        <v>F&amp;B: Operating Equipment F&amp;B</v>
      </c>
    </row>
    <row r="195" spans="1:12">
      <c r="A195" s="39" t="s">
        <v>22</v>
      </c>
      <c r="B195" s="84">
        <f>IF(INDEX(Overview!$C$8:$C$33,MATCH('OS&amp;E_FF&amp;E'!A195,Overview!$A$8:$A$33,0))=0,0,1)</f>
        <v>0</v>
      </c>
      <c r="C195" s="13" t="s">
        <v>307</v>
      </c>
      <c r="D195" s="13" t="s">
        <v>279</v>
      </c>
      <c r="E195" s="13">
        <v>5</v>
      </c>
      <c r="F195" s="39"/>
      <c r="G195" s="50">
        <v>34.630000000000003</v>
      </c>
      <c r="H195" s="41">
        <f t="shared" si="3"/>
        <v>173.15</v>
      </c>
      <c r="I195" s="39"/>
      <c r="J195" s="39"/>
      <c r="K195" s="39"/>
      <c r="L195" s="40" t="str">
        <f>INDEX(Overview!$B$8:$B$33,MATCH('OS&amp;E_FF&amp;E'!$A195,Overview!$A$8:$A$33,0))</f>
        <v>F&amp;B: Operating Equipment F&amp;B</v>
      </c>
    </row>
    <row r="196" spans="1:12">
      <c r="A196" s="39" t="s">
        <v>22</v>
      </c>
      <c r="B196" s="84">
        <f>IF(INDEX(Overview!$C$8:$C$33,MATCH('OS&amp;E_FF&amp;E'!A196,Overview!$A$8:$A$33,0))=0,0,1)</f>
        <v>0</v>
      </c>
      <c r="C196" s="13" t="s">
        <v>308</v>
      </c>
      <c r="D196" s="13" t="s">
        <v>279</v>
      </c>
      <c r="E196" s="13">
        <v>5</v>
      </c>
      <c r="F196" s="39"/>
      <c r="G196" s="50">
        <v>19.55</v>
      </c>
      <c r="H196" s="41">
        <f t="shared" si="3"/>
        <v>97.75</v>
      </c>
      <c r="I196" s="39"/>
      <c r="J196" s="39"/>
      <c r="K196" s="39"/>
      <c r="L196" s="40" t="str">
        <f>INDEX(Overview!$B$8:$B$33,MATCH('OS&amp;E_FF&amp;E'!$A196,Overview!$A$8:$A$33,0))</f>
        <v>F&amp;B: Operating Equipment F&amp;B</v>
      </c>
    </row>
    <row r="197" spans="1:12">
      <c r="A197" s="39" t="s">
        <v>22</v>
      </c>
      <c r="B197" s="84">
        <f>IF(INDEX(Overview!$C$8:$C$33,MATCH('OS&amp;E_FF&amp;E'!A197,Overview!$A$8:$A$33,0))=0,0,1)</f>
        <v>0</v>
      </c>
      <c r="C197" s="13" t="s">
        <v>309</v>
      </c>
      <c r="D197" s="13" t="s">
        <v>279</v>
      </c>
      <c r="E197" s="13">
        <v>5</v>
      </c>
      <c r="F197" s="39"/>
      <c r="G197" s="50">
        <v>12.29</v>
      </c>
      <c r="H197" s="41">
        <f t="shared" si="3"/>
        <v>61.449999999999996</v>
      </c>
      <c r="I197" s="39"/>
      <c r="J197" s="39"/>
      <c r="K197" s="39"/>
      <c r="L197" s="40" t="str">
        <f>INDEX(Overview!$B$8:$B$33,MATCH('OS&amp;E_FF&amp;E'!$A197,Overview!$A$8:$A$33,0))</f>
        <v>F&amp;B: Operating Equipment F&amp;B</v>
      </c>
    </row>
    <row r="198" spans="1:12">
      <c r="A198" s="39" t="s">
        <v>22</v>
      </c>
      <c r="B198" s="84">
        <f>IF(INDEX(Overview!$C$8:$C$33,MATCH('OS&amp;E_FF&amp;E'!A198,Overview!$A$8:$A$33,0))=0,0,1)</f>
        <v>0</v>
      </c>
      <c r="C198" s="13" t="s">
        <v>310</v>
      </c>
      <c r="D198" s="13" t="s">
        <v>279</v>
      </c>
      <c r="E198" s="13">
        <v>5</v>
      </c>
      <c r="F198" s="39"/>
      <c r="G198" s="50">
        <v>20.11</v>
      </c>
      <c r="H198" s="41">
        <f t="shared" si="3"/>
        <v>100.55</v>
      </c>
      <c r="I198" s="39"/>
      <c r="J198" s="39"/>
      <c r="K198" s="39"/>
      <c r="L198" s="40" t="str">
        <f>INDEX(Overview!$B$8:$B$33,MATCH('OS&amp;E_FF&amp;E'!$A198,Overview!$A$8:$A$33,0))</f>
        <v>F&amp;B: Operating Equipment F&amp;B</v>
      </c>
    </row>
    <row r="199" spans="1:12">
      <c r="A199" s="39" t="s">
        <v>22</v>
      </c>
      <c r="B199" s="84">
        <f>IF(INDEX(Overview!$C$8:$C$33,MATCH('OS&amp;E_FF&amp;E'!A199,Overview!$A$8:$A$33,0))=0,0,1)</f>
        <v>0</v>
      </c>
      <c r="C199" s="13" t="s">
        <v>311</v>
      </c>
      <c r="D199" s="13" t="s">
        <v>279</v>
      </c>
      <c r="E199" s="13">
        <v>5</v>
      </c>
      <c r="F199" s="39"/>
      <c r="G199" s="50">
        <v>13.96</v>
      </c>
      <c r="H199" s="41">
        <f t="shared" si="3"/>
        <v>69.800000000000011</v>
      </c>
      <c r="I199" s="39"/>
      <c r="J199" s="39"/>
      <c r="K199" s="39"/>
      <c r="L199" s="40" t="str">
        <f>INDEX(Overview!$B$8:$B$33,MATCH('OS&amp;E_FF&amp;E'!$A199,Overview!$A$8:$A$33,0))</f>
        <v>F&amp;B: Operating Equipment F&amp;B</v>
      </c>
    </row>
    <row r="200" spans="1:12">
      <c r="A200" s="39" t="s">
        <v>22</v>
      </c>
      <c r="B200" s="84">
        <f>IF(INDEX(Overview!$C$8:$C$33,MATCH('OS&amp;E_FF&amp;E'!A200,Overview!$A$8:$A$33,0))=0,0,1)</f>
        <v>0</v>
      </c>
      <c r="C200" s="13" t="s">
        <v>312</v>
      </c>
      <c r="D200" s="13" t="s">
        <v>279</v>
      </c>
      <c r="E200" s="13">
        <v>5</v>
      </c>
      <c r="F200" s="39"/>
      <c r="G200" s="50">
        <v>12.29</v>
      </c>
      <c r="H200" s="41">
        <f t="shared" si="3"/>
        <v>61.449999999999996</v>
      </c>
      <c r="I200" s="39"/>
      <c r="J200" s="39"/>
      <c r="K200" s="39"/>
      <c r="L200" s="40" t="str">
        <f>INDEX(Overview!$B$8:$B$33,MATCH('OS&amp;E_FF&amp;E'!$A200,Overview!$A$8:$A$33,0))</f>
        <v>F&amp;B: Operating Equipment F&amp;B</v>
      </c>
    </row>
    <row r="201" spans="1:12">
      <c r="A201" s="39" t="s">
        <v>22</v>
      </c>
      <c r="B201" s="84">
        <f>IF(INDEX(Overview!$C$8:$C$33,MATCH('OS&amp;E_FF&amp;E'!A201,Overview!$A$8:$A$33,0))=0,0,1)</f>
        <v>0</v>
      </c>
      <c r="C201" s="13" t="s">
        <v>313</v>
      </c>
      <c r="D201" s="13" t="s">
        <v>279</v>
      </c>
      <c r="E201" s="13">
        <v>5</v>
      </c>
      <c r="F201" s="39"/>
      <c r="G201" s="50">
        <v>8.3800000000000008</v>
      </c>
      <c r="H201" s="41">
        <f t="shared" si="3"/>
        <v>41.900000000000006</v>
      </c>
      <c r="I201" s="39"/>
      <c r="J201" s="39"/>
      <c r="K201" s="39"/>
      <c r="L201" s="40" t="str">
        <f>INDEX(Overview!$B$8:$B$33,MATCH('OS&amp;E_FF&amp;E'!$A201,Overview!$A$8:$A$33,0))</f>
        <v>F&amp;B: Operating Equipment F&amp;B</v>
      </c>
    </row>
    <row r="202" spans="1:12">
      <c r="A202" s="39" t="s">
        <v>22</v>
      </c>
      <c r="B202" s="84">
        <f>IF(INDEX(Overview!$C$8:$C$33,MATCH('OS&amp;E_FF&amp;E'!A202,Overview!$A$8:$A$33,0))=0,0,1)</f>
        <v>0</v>
      </c>
      <c r="C202" s="13" t="s">
        <v>314</v>
      </c>
      <c r="D202" s="13" t="s">
        <v>279</v>
      </c>
      <c r="E202" s="13">
        <v>5</v>
      </c>
      <c r="F202" s="39"/>
      <c r="G202" s="50">
        <v>6.71</v>
      </c>
      <c r="H202" s="41">
        <f t="shared" si="3"/>
        <v>33.549999999999997</v>
      </c>
      <c r="I202" s="39"/>
      <c r="J202" s="39"/>
      <c r="K202" s="39"/>
      <c r="L202" s="40" t="str">
        <f>INDEX(Overview!$B$8:$B$33,MATCH('OS&amp;E_FF&amp;E'!$A202,Overview!$A$8:$A$33,0))</f>
        <v>F&amp;B: Operating Equipment F&amp;B</v>
      </c>
    </row>
    <row r="203" spans="1:12">
      <c r="A203" s="39" t="s">
        <v>22</v>
      </c>
      <c r="B203" s="84">
        <f>IF(INDEX(Overview!$C$8:$C$33,MATCH('OS&amp;E_FF&amp;E'!A203,Overview!$A$8:$A$33,0))=0,0,1)</f>
        <v>0</v>
      </c>
      <c r="C203" s="13" t="s">
        <v>315</v>
      </c>
      <c r="D203" s="13" t="s">
        <v>279</v>
      </c>
      <c r="E203" s="13">
        <v>1</v>
      </c>
      <c r="F203" s="39"/>
      <c r="G203" s="50">
        <v>29.65</v>
      </c>
      <c r="H203" s="41">
        <f t="shared" si="3"/>
        <v>29.65</v>
      </c>
      <c r="I203" s="39"/>
      <c r="J203" s="39"/>
      <c r="K203" s="39"/>
      <c r="L203" s="40" t="str">
        <f>INDEX(Overview!$B$8:$B$33,MATCH('OS&amp;E_FF&amp;E'!$A203,Overview!$A$8:$A$33,0))</f>
        <v>F&amp;B: Operating Equipment F&amp;B</v>
      </c>
    </row>
    <row r="204" spans="1:12">
      <c r="A204" s="39" t="s">
        <v>22</v>
      </c>
      <c r="B204" s="84">
        <f>IF(INDEX(Overview!$C$8:$C$33,MATCH('OS&amp;E_FF&amp;E'!A204,Overview!$A$8:$A$33,0))=0,0,1)</f>
        <v>0</v>
      </c>
      <c r="C204" s="13" t="s">
        <v>316</v>
      </c>
      <c r="D204" s="13" t="s">
        <v>279</v>
      </c>
      <c r="E204" s="13">
        <v>1</v>
      </c>
      <c r="F204" s="39"/>
      <c r="G204" s="50">
        <v>16.93</v>
      </c>
      <c r="H204" s="41">
        <f t="shared" si="3"/>
        <v>16.93</v>
      </c>
      <c r="I204" s="39"/>
      <c r="J204" s="39"/>
      <c r="K204" s="39"/>
      <c r="L204" s="40" t="str">
        <f>INDEX(Overview!$B$8:$B$33,MATCH('OS&amp;E_FF&amp;E'!$A204,Overview!$A$8:$A$33,0))</f>
        <v>F&amp;B: Operating Equipment F&amp;B</v>
      </c>
    </row>
    <row r="205" spans="1:12">
      <c r="A205" s="39" t="s">
        <v>22</v>
      </c>
      <c r="B205" s="84">
        <f>IF(INDEX(Overview!$C$8:$C$33,MATCH('OS&amp;E_FF&amp;E'!A205,Overview!$A$8:$A$33,0))=0,0,1)</f>
        <v>0</v>
      </c>
      <c r="C205" s="13" t="s">
        <v>317</v>
      </c>
      <c r="D205" s="13" t="s">
        <v>279</v>
      </c>
      <c r="E205" s="13">
        <v>5</v>
      </c>
      <c r="F205" s="39"/>
      <c r="G205" s="50">
        <v>16.2</v>
      </c>
      <c r="H205" s="41">
        <f t="shared" si="3"/>
        <v>81</v>
      </c>
      <c r="I205" s="39"/>
      <c r="J205" s="39"/>
      <c r="K205" s="39"/>
      <c r="L205" s="40" t="str">
        <f>INDEX(Overview!$B$8:$B$33,MATCH('OS&amp;E_FF&amp;E'!$A205,Overview!$A$8:$A$33,0))</f>
        <v>F&amp;B: Operating Equipment F&amp;B</v>
      </c>
    </row>
    <row r="206" spans="1:12">
      <c r="A206" s="39" t="s">
        <v>22</v>
      </c>
      <c r="B206" s="84">
        <f>IF(INDEX(Overview!$C$8:$C$33,MATCH('OS&amp;E_FF&amp;E'!A206,Overview!$A$8:$A$33,0))=0,0,1)</f>
        <v>0</v>
      </c>
      <c r="C206" s="13" t="s">
        <v>318</v>
      </c>
      <c r="D206" s="13" t="s">
        <v>279</v>
      </c>
      <c r="E206" s="13">
        <v>5</v>
      </c>
      <c r="F206" s="39"/>
      <c r="G206" s="50">
        <v>10.89</v>
      </c>
      <c r="H206" s="41">
        <f t="shared" si="3"/>
        <v>54.45</v>
      </c>
      <c r="I206" s="39"/>
      <c r="J206" s="39"/>
      <c r="K206" s="39"/>
      <c r="L206" s="40" t="str">
        <f>INDEX(Overview!$B$8:$B$33,MATCH('OS&amp;E_FF&amp;E'!$A206,Overview!$A$8:$A$33,0))</f>
        <v>F&amp;B: Operating Equipment F&amp;B</v>
      </c>
    </row>
    <row r="207" spans="1:12">
      <c r="A207" s="39" t="s">
        <v>22</v>
      </c>
      <c r="B207" s="84">
        <f>IF(INDEX(Overview!$C$8:$C$33,MATCH('OS&amp;E_FF&amp;E'!A207,Overview!$A$8:$A$33,0))=0,0,1)</f>
        <v>0</v>
      </c>
      <c r="C207" s="13" t="s">
        <v>319</v>
      </c>
      <c r="D207" s="13" t="s">
        <v>279</v>
      </c>
      <c r="E207" s="13">
        <v>5</v>
      </c>
      <c r="F207" s="39"/>
      <c r="G207" s="50">
        <v>3.91</v>
      </c>
      <c r="H207" s="41">
        <f t="shared" si="3"/>
        <v>19.55</v>
      </c>
      <c r="I207" s="39"/>
      <c r="J207" s="39"/>
      <c r="K207" s="39"/>
      <c r="L207" s="40" t="str">
        <f>INDEX(Overview!$B$8:$B$33,MATCH('OS&amp;E_FF&amp;E'!$A207,Overview!$A$8:$A$33,0))</f>
        <v>F&amp;B: Operating Equipment F&amp;B</v>
      </c>
    </row>
    <row r="208" spans="1:12">
      <c r="A208" s="39" t="s">
        <v>22</v>
      </c>
      <c r="B208" s="84">
        <f>IF(INDEX(Overview!$C$8:$C$33,MATCH('OS&amp;E_FF&amp;E'!A208,Overview!$A$8:$A$33,0))=0,0,1)</f>
        <v>0</v>
      </c>
      <c r="C208" s="13" t="s">
        <v>320</v>
      </c>
      <c r="D208" s="13" t="s">
        <v>279</v>
      </c>
      <c r="E208" s="13">
        <v>5</v>
      </c>
      <c r="F208" s="39"/>
      <c r="G208" s="50">
        <v>4.47</v>
      </c>
      <c r="H208" s="41">
        <f t="shared" si="3"/>
        <v>22.349999999999998</v>
      </c>
      <c r="I208" s="39"/>
      <c r="J208" s="39"/>
      <c r="K208" s="39"/>
      <c r="L208" s="40" t="str">
        <f>INDEX(Overview!$B$8:$B$33,MATCH('OS&amp;E_FF&amp;E'!$A208,Overview!$A$8:$A$33,0))</f>
        <v>F&amp;B: Operating Equipment F&amp;B</v>
      </c>
    </row>
    <row r="209" spans="1:12">
      <c r="A209" s="39" t="s">
        <v>22</v>
      </c>
      <c r="B209" s="84">
        <f>IF(INDEX(Overview!$C$8:$C$33,MATCH('OS&amp;E_FF&amp;E'!A209,Overview!$A$8:$A$33,0))=0,0,1)</f>
        <v>0</v>
      </c>
      <c r="C209" s="13" t="s">
        <v>321</v>
      </c>
      <c r="D209" s="13" t="s">
        <v>279</v>
      </c>
      <c r="E209" s="13">
        <v>5</v>
      </c>
      <c r="F209" s="39"/>
      <c r="G209" s="50">
        <v>5.0199999999999996</v>
      </c>
      <c r="H209" s="41">
        <f t="shared" si="3"/>
        <v>25.099999999999998</v>
      </c>
      <c r="I209" s="39"/>
      <c r="J209" s="39"/>
      <c r="K209" s="39"/>
      <c r="L209" s="40" t="str">
        <f>INDEX(Overview!$B$8:$B$33,MATCH('OS&amp;E_FF&amp;E'!$A209,Overview!$A$8:$A$33,0))</f>
        <v>F&amp;B: Operating Equipment F&amp;B</v>
      </c>
    </row>
    <row r="210" spans="1:12">
      <c r="A210" s="39" t="s">
        <v>22</v>
      </c>
      <c r="B210" s="84">
        <f>IF(INDEX(Overview!$C$8:$C$33,MATCH('OS&amp;E_FF&amp;E'!A210,Overview!$A$8:$A$33,0))=0,0,1)</f>
        <v>0</v>
      </c>
      <c r="C210" s="13" t="s">
        <v>322</v>
      </c>
      <c r="D210" s="13" t="s">
        <v>279</v>
      </c>
      <c r="E210" s="13">
        <v>15</v>
      </c>
      <c r="F210" s="39"/>
      <c r="G210" s="50">
        <v>7.82</v>
      </c>
      <c r="H210" s="41">
        <f t="shared" si="3"/>
        <v>117.30000000000001</v>
      </c>
      <c r="I210" s="39"/>
      <c r="J210" s="39"/>
      <c r="K210" s="39"/>
      <c r="L210" s="40" t="str">
        <f>INDEX(Overview!$B$8:$B$33,MATCH('OS&amp;E_FF&amp;E'!$A210,Overview!$A$8:$A$33,0))</f>
        <v>F&amp;B: Operating Equipment F&amp;B</v>
      </c>
    </row>
    <row r="211" spans="1:12">
      <c r="A211" s="39" t="s">
        <v>22</v>
      </c>
      <c r="B211" s="84">
        <f>IF(INDEX(Overview!$C$8:$C$33,MATCH('OS&amp;E_FF&amp;E'!A211,Overview!$A$8:$A$33,0))=0,0,1)</f>
        <v>0</v>
      </c>
      <c r="C211" s="13" t="s">
        <v>323</v>
      </c>
      <c r="D211" s="13" t="s">
        <v>279</v>
      </c>
      <c r="E211" s="13">
        <v>10</v>
      </c>
      <c r="F211" s="39"/>
      <c r="G211" s="50">
        <v>12.85</v>
      </c>
      <c r="H211" s="41">
        <f t="shared" si="3"/>
        <v>128.5</v>
      </c>
      <c r="I211" s="39"/>
      <c r="J211" s="39"/>
      <c r="K211" s="39"/>
      <c r="L211" s="40" t="str">
        <f>INDEX(Overview!$B$8:$B$33,MATCH('OS&amp;E_FF&amp;E'!$A211,Overview!$A$8:$A$33,0))</f>
        <v>F&amp;B: Operating Equipment F&amp;B</v>
      </c>
    </row>
    <row r="212" spans="1:12">
      <c r="A212" s="39" t="s">
        <v>22</v>
      </c>
      <c r="B212" s="84">
        <f>IF(INDEX(Overview!$C$8:$C$33,MATCH('OS&amp;E_FF&amp;E'!A212,Overview!$A$8:$A$33,0))=0,0,1)</f>
        <v>0</v>
      </c>
      <c r="C212" s="13" t="s">
        <v>324</v>
      </c>
      <c r="D212" s="13" t="s">
        <v>279</v>
      </c>
      <c r="E212" s="13">
        <v>1</v>
      </c>
      <c r="F212" s="39"/>
      <c r="G212" s="50">
        <v>18158.73</v>
      </c>
      <c r="H212" s="41">
        <f t="shared" si="3"/>
        <v>18158.73</v>
      </c>
      <c r="I212" s="39"/>
      <c r="J212" s="39"/>
      <c r="K212" s="39"/>
      <c r="L212" s="40" t="str">
        <f>INDEX(Overview!$B$8:$B$33,MATCH('OS&amp;E_FF&amp;E'!$A212,Overview!$A$8:$A$33,0))</f>
        <v>F&amp;B: Operating Equipment F&amp;B</v>
      </c>
    </row>
    <row r="213" spans="1:12">
      <c r="A213" s="39" t="s">
        <v>22</v>
      </c>
      <c r="B213" s="84">
        <f>IF(INDEX(Overview!$C$8:$C$33,MATCH('OS&amp;E_FF&amp;E'!A213,Overview!$A$8:$A$33,0))=0,0,1)</f>
        <v>0</v>
      </c>
      <c r="C213" s="13" t="s">
        <v>325</v>
      </c>
      <c r="D213" s="13" t="s">
        <v>326</v>
      </c>
      <c r="E213" s="13">
        <v>1</v>
      </c>
      <c r="F213" s="39"/>
      <c r="G213" s="50">
        <v>153</v>
      </c>
      <c r="H213" s="41">
        <f t="shared" si="3"/>
        <v>153</v>
      </c>
      <c r="I213" s="39"/>
      <c r="J213" s="39"/>
      <c r="K213" s="39"/>
      <c r="L213" s="40" t="str">
        <f>INDEX(Overview!$B$8:$B$33,MATCH('OS&amp;E_FF&amp;E'!$A213,Overview!$A$8:$A$33,0))</f>
        <v>F&amp;B: Operating Equipment F&amp;B</v>
      </c>
    </row>
    <row r="214" spans="1:12">
      <c r="A214" s="39" t="s">
        <v>22</v>
      </c>
      <c r="B214" s="84">
        <f>IF(INDEX(Overview!$C$8:$C$33,MATCH('OS&amp;E_FF&amp;E'!A214,Overview!$A$8:$A$33,0))=0,0,1)</f>
        <v>0</v>
      </c>
      <c r="C214" s="13" t="s">
        <v>327</v>
      </c>
      <c r="D214" s="13" t="s">
        <v>326</v>
      </c>
      <c r="E214" s="13">
        <v>3</v>
      </c>
      <c r="F214" s="39"/>
      <c r="G214" s="50">
        <v>16.920000000000002</v>
      </c>
      <c r="H214" s="41">
        <f t="shared" si="3"/>
        <v>50.760000000000005</v>
      </c>
      <c r="I214" s="39"/>
      <c r="J214" s="39"/>
      <c r="K214" s="39"/>
      <c r="L214" s="40" t="str">
        <f>INDEX(Overview!$B$8:$B$33,MATCH('OS&amp;E_FF&amp;E'!$A214,Overview!$A$8:$A$33,0))</f>
        <v>F&amp;B: Operating Equipment F&amp;B</v>
      </c>
    </row>
    <row r="215" spans="1:12">
      <c r="A215" s="39" t="s">
        <v>22</v>
      </c>
      <c r="B215" s="84">
        <f>IF(INDEX(Overview!$C$8:$C$33,MATCH('OS&amp;E_FF&amp;E'!A215,Overview!$A$8:$A$33,0))=0,0,1)</f>
        <v>0</v>
      </c>
      <c r="C215" s="13" t="s">
        <v>328</v>
      </c>
      <c r="D215" s="13" t="s">
        <v>326</v>
      </c>
      <c r="E215" s="13">
        <v>3</v>
      </c>
      <c r="F215" s="39"/>
      <c r="G215" s="50">
        <v>20.7</v>
      </c>
      <c r="H215" s="41">
        <f t="shared" si="3"/>
        <v>62.099999999999994</v>
      </c>
      <c r="I215" s="39"/>
      <c r="J215" s="39"/>
      <c r="K215" s="39"/>
      <c r="L215" s="40" t="str">
        <f>INDEX(Overview!$B$8:$B$33,MATCH('OS&amp;E_FF&amp;E'!$A215,Overview!$A$8:$A$33,0))</f>
        <v>F&amp;B: Operating Equipment F&amp;B</v>
      </c>
    </row>
    <row r="216" spans="1:12">
      <c r="A216" s="39" t="s">
        <v>22</v>
      </c>
      <c r="B216" s="84">
        <f>IF(INDEX(Overview!$C$8:$C$33,MATCH('OS&amp;E_FF&amp;E'!A216,Overview!$A$8:$A$33,0))=0,0,1)</f>
        <v>0</v>
      </c>
      <c r="C216" s="13" t="s">
        <v>329</v>
      </c>
      <c r="D216" s="13" t="s">
        <v>326</v>
      </c>
      <c r="E216" s="13">
        <v>2</v>
      </c>
      <c r="F216" s="39"/>
      <c r="G216" s="50">
        <v>32.369999999999997</v>
      </c>
      <c r="H216" s="41">
        <f t="shared" si="3"/>
        <v>64.739999999999995</v>
      </c>
      <c r="I216" s="39"/>
      <c r="J216" s="39"/>
      <c r="K216" s="39"/>
      <c r="L216" s="40" t="str">
        <f>INDEX(Overview!$B$8:$B$33,MATCH('OS&amp;E_FF&amp;E'!$A216,Overview!$A$8:$A$33,0))</f>
        <v>F&amp;B: Operating Equipment F&amp;B</v>
      </c>
    </row>
    <row r="217" spans="1:12">
      <c r="A217" s="39" t="s">
        <v>22</v>
      </c>
      <c r="B217" s="84">
        <f>IF(INDEX(Overview!$C$8:$C$33,MATCH('OS&amp;E_FF&amp;E'!A217,Overview!$A$8:$A$33,0))=0,0,1)</f>
        <v>0</v>
      </c>
      <c r="C217" s="13" t="s">
        <v>330</v>
      </c>
      <c r="D217" s="13" t="s">
        <v>326</v>
      </c>
      <c r="E217" s="13">
        <v>1</v>
      </c>
      <c r="F217" s="39"/>
      <c r="G217" s="50">
        <v>3.89</v>
      </c>
      <c r="H217" s="41">
        <f t="shared" si="3"/>
        <v>3.89</v>
      </c>
      <c r="I217" s="39"/>
      <c r="J217" s="39"/>
      <c r="K217" s="39"/>
      <c r="L217" s="40" t="str">
        <f>INDEX(Overview!$B$8:$B$33,MATCH('OS&amp;E_FF&amp;E'!$A217,Overview!$A$8:$A$33,0))</f>
        <v>F&amp;B: Operating Equipment F&amp;B</v>
      </c>
    </row>
    <row r="218" spans="1:12">
      <c r="A218" s="39" t="s">
        <v>22</v>
      </c>
      <c r="B218" s="84">
        <f>IF(INDEX(Overview!$C$8:$C$33,MATCH('OS&amp;E_FF&amp;E'!A218,Overview!$A$8:$A$33,0))=0,0,1)</f>
        <v>0</v>
      </c>
      <c r="C218" s="13" t="s">
        <v>331</v>
      </c>
      <c r="D218" s="13" t="s">
        <v>326</v>
      </c>
      <c r="E218" s="13">
        <v>2</v>
      </c>
      <c r="F218" s="39"/>
      <c r="G218" s="50">
        <v>21</v>
      </c>
      <c r="H218" s="41">
        <f t="shared" si="3"/>
        <v>42</v>
      </c>
      <c r="I218" s="39"/>
      <c r="J218" s="39"/>
      <c r="K218" s="39"/>
      <c r="L218" s="40" t="str">
        <f>INDEX(Overview!$B$8:$B$33,MATCH('OS&amp;E_FF&amp;E'!$A218,Overview!$A$8:$A$33,0))</f>
        <v>F&amp;B: Operating Equipment F&amp;B</v>
      </c>
    </row>
    <row r="219" spans="1:12">
      <c r="A219" s="39" t="s">
        <v>22</v>
      </c>
      <c r="B219" s="84">
        <f>IF(INDEX(Overview!$C$8:$C$33,MATCH('OS&amp;E_FF&amp;E'!A219,Overview!$A$8:$A$33,0))=0,0,1)</f>
        <v>0</v>
      </c>
      <c r="C219" s="13" t="s">
        <v>332</v>
      </c>
      <c r="D219" s="13" t="s">
        <v>326</v>
      </c>
      <c r="E219" s="13">
        <v>50</v>
      </c>
      <c r="F219" s="39"/>
      <c r="G219" s="50">
        <v>0.28999999999999998</v>
      </c>
      <c r="H219" s="41">
        <f t="shared" si="3"/>
        <v>14.499999999999998</v>
      </c>
      <c r="I219" s="39"/>
      <c r="J219" s="39"/>
      <c r="K219" s="39"/>
      <c r="L219" s="40" t="str">
        <f>INDEX(Overview!$B$8:$B$33,MATCH('OS&amp;E_FF&amp;E'!$A219,Overview!$A$8:$A$33,0))</f>
        <v>F&amp;B: Operating Equipment F&amp;B</v>
      </c>
    </row>
    <row r="220" spans="1:12">
      <c r="A220" s="39" t="s">
        <v>22</v>
      </c>
      <c r="B220" s="84">
        <f>IF(INDEX(Overview!$C$8:$C$33,MATCH('OS&amp;E_FF&amp;E'!A220,Overview!$A$8:$A$33,0))=0,0,1)</f>
        <v>0</v>
      </c>
      <c r="C220" s="13" t="s">
        <v>333</v>
      </c>
      <c r="D220" s="13" t="s">
        <v>326</v>
      </c>
      <c r="E220" s="13">
        <v>50</v>
      </c>
      <c r="F220" s="39"/>
      <c r="G220" s="50">
        <v>0.11</v>
      </c>
      <c r="H220" s="41">
        <f t="shared" si="3"/>
        <v>5.5</v>
      </c>
      <c r="I220" s="39"/>
      <c r="J220" s="39"/>
      <c r="K220" s="39"/>
      <c r="L220" s="40" t="str">
        <f>INDEX(Overview!$B$8:$B$33,MATCH('OS&amp;E_FF&amp;E'!$A220,Overview!$A$8:$A$33,0))</f>
        <v>F&amp;B: Operating Equipment F&amp;B</v>
      </c>
    </row>
    <row r="221" spans="1:12">
      <c r="A221" s="39" t="s">
        <v>22</v>
      </c>
      <c r="B221" s="84">
        <f>IF(INDEX(Overview!$C$8:$C$33,MATCH('OS&amp;E_FF&amp;E'!A221,Overview!$A$8:$A$33,0))=0,0,1)</f>
        <v>0</v>
      </c>
      <c r="C221" s="13" t="s">
        <v>334</v>
      </c>
      <c r="D221" s="13" t="s">
        <v>326</v>
      </c>
      <c r="E221" s="13">
        <v>2</v>
      </c>
      <c r="F221" s="39"/>
      <c r="G221" s="50">
        <v>4.95</v>
      </c>
      <c r="H221" s="41">
        <f t="shared" si="3"/>
        <v>9.9</v>
      </c>
      <c r="I221" s="39"/>
      <c r="J221" s="39"/>
      <c r="K221" s="39"/>
      <c r="L221" s="40" t="str">
        <f>INDEX(Overview!$B$8:$B$33,MATCH('OS&amp;E_FF&amp;E'!$A221,Overview!$A$8:$A$33,0))</f>
        <v>F&amp;B: Operating Equipment F&amp;B</v>
      </c>
    </row>
    <row r="222" spans="1:12">
      <c r="A222" s="39" t="s">
        <v>22</v>
      </c>
      <c r="B222" s="84">
        <f>IF(INDEX(Overview!$C$8:$C$33,MATCH('OS&amp;E_FF&amp;E'!A222,Overview!$A$8:$A$33,0))=0,0,1)</f>
        <v>0</v>
      </c>
      <c r="C222" s="13" t="s">
        <v>335</v>
      </c>
      <c r="D222" s="13" t="s">
        <v>326</v>
      </c>
      <c r="E222" s="13">
        <v>2</v>
      </c>
      <c r="F222" s="39"/>
      <c r="G222" s="50">
        <v>15.95</v>
      </c>
      <c r="H222" s="41">
        <f t="shared" si="3"/>
        <v>31.9</v>
      </c>
      <c r="I222" s="39"/>
      <c r="J222" s="39"/>
      <c r="K222" s="39"/>
      <c r="L222" s="40" t="str">
        <f>INDEX(Overview!$B$8:$B$33,MATCH('OS&amp;E_FF&amp;E'!$A222,Overview!$A$8:$A$33,0))</f>
        <v>F&amp;B: Operating Equipment F&amp;B</v>
      </c>
    </row>
    <row r="223" spans="1:12">
      <c r="A223" s="39" t="s">
        <v>22</v>
      </c>
      <c r="B223" s="84">
        <f>IF(INDEX(Overview!$C$8:$C$33,MATCH('OS&amp;E_FF&amp;E'!A223,Overview!$A$8:$A$33,0))=0,0,1)</f>
        <v>0</v>
      </c>
      <c r="C223" s="13" t="s">
        <v>336</v>
      </c>
      <c r="D223" s="13" t="s">
        <v>326</v>
      </c>
      <c r="E223" s="13">
        <v>3</v>
      </c>
      <c r="F223" s="39"/>
      <c r="G223" s="50">
        <v>51.43</v>
      </c>
      <c r="H223" s="41">
        <f t="shared" si="3"/>
        <v>154.29</v>
      </c>
      <c r="I223" s="39"/>
      <c r="J223" s="39"/>
      <c r="K223" s="39"/>
      <c r="L223" s="40" t="str">
        <f>INDEX(Overview!$B$8:$B$33,MATCH('OS&amp;E_FF&amp;E'!$A223,Overview!$A$8:$A$33,0))</f>
        <v>F&amp;B: Operating Equipment F&amp;B</v>
      </c>
    </row>
    <row r="224" spans="1:12">
      <c r="A224" s="39" t="s">
        <v>22</v>
      </c>
      <c r="B224" s="84">
        <f>IF(INDEX(Overview!$C$8:$C$33,MATCH('OS&amp;E_FF&amp;E'!A224,Overview!$A$8:$A$33,0))=0,0,1)</f>
        <v>0</v>
      </c>
      <c r="C224" s="13" t="s">
        <v>337</v>
      </c>
      <c r="D224" s="13" t="s">
        <v>326</v>
      </c>
      <c r="E224" s="13">
        <v>1</v>
      </c>
      <c r="F224" s="39"/>
      <c r="G224" s="50">
        <v>160</v>
      </c>
      <c r="H224" s="41">
        <f t="shared" si="3"/>
        <v>160</v>
      </c>
      <c r="I224" s="39"/>
      <c r="J224" s="39"/>
      <c r="K224" s="39"/>
      <c r="L224" s="40" t="str">
        <f>INDEX(Overview!$B$8:$B$33,MATCH('OS&amp;E_FF&amp;E'!$A224,Overview!$A$8:$A$33,0))</f>
        <v>F&amp;B: Operating Equipment F&amp;B</v>
      </c>
    </row>
    <row r="225" spans="1:12">
      <c r="A225" s="39" t="s">
        <v>22</v>
      </c>
      <c r="B225" s="84">
        <f>IF(INDEX(Overview!$C$8:$C$33,MATCH('OS&amp;E_FF&amp;E'!A225,Overview!$A$8:$A$33,0))=0,0,1)</f>
        <v>0</v>
      </c>
      <c r="C225" s="13" t="s">
        <v>338</v>
      </c>
      <c r="D225" s="13" t="s">
        <v>326</v>
      </c>
      <c r="E225" s="13">
        <v>2</v>
      </c>
      <c r="F225" s="39"/>
      <c r="G225" s="50">
        <v>8.3000000000000007</v>
      </c>
      <c r="H225" s="41">
        <f t="shared" si="3"/>
        <v>16.600000000000001</v>
      </c>
      <c r="I225" s="39"/>
      <c r="J225" s="39"/>
      <c r="K225" s="39"/>
      <c r="L225" s="40" t="str">
        <f>INDEX(Overview!$B$8:$B$33,MATCH('OS&amp;E_FF&amp;E'!$A225,Overview!$A$8:$A$33,0))</f>
        <v>F&amp;B: Operating Equipment F&amp;B</v>
      </c>
    </row>
    <row r="226" spans="1:12">
      <c r="A226" s="39" t="s">
        <v>22</v>
      </c>
      <c r="B226" s="84">
        <f>IF(INDEX(Overview!$C$8:$C$33,MATCH('OS&amp;E_FF&amp;E'!A226,Overview!$A$8:$A$33,0))=0,0,1)</f>
        <v>0</v>
      </c>
      <c r="C226" s="13" t="s">
        <v>339</v>
      </c>
      <c r="D226" s="13" t="s">
        <v>326</v>
      </c>
      <c r="E226" s="13">
        <v>2</v>
      </c>
      <c r="F226" s="39"/>
      <c r="G226" s="50">
        <v>1.75</v>
      </c>
      <c r="H226" s="41">
        <f t="shared" si="3"/>
        <v>3.5</v>
      </c>
      <c r="I226" s="39"/>
      <c r="J226" s="39"/>
      <c r="K226" s="39"/>
      <c r="L226" s="40" t="str">
        <f>INDEX(Overview!$B$8:$B$33,MATCH('OS&amp;E_FF&amp;E'!$A226,Overview!$A$8:$A$33,0))</f>
        <v>F&amp;B: Operating Equipment F&amp;B</v>
      </c>
    </row>
    <row r="227" spans="1:12">
      <c r="A227" s="39" t="s">
        <v>22</v>
      </c>
      <c r="B227" s="84">
        <f>IF(INDEX(Overview!$C$8:$C$33,MATCH('OS&amp;E_FF&amp;E'!A227,Overview!$A$8:$A$33,0))=0,0,1)</f>
        <v>0</v>
      </c>
      <c r="C227" s="13" t="s">
        <v>340</v>
      </c>
      <c r="D227" s="13" t="s">
        <v>326</v>
      </c>
      <c r="E227" s="13">
        <v>3</v>
      </c>
      <c r="F227" s="39"/>
      <c r="G227" s="50">
        <v>22.97</v>
      </c>
      <c r="H227" s="41">
        <f t="shared" si="3"/>
        <v>68.91</v>
      </c>
      <c r="I227" s="39"/>
      <c r="J227" s="39"/>
      <c r="K227" s="39"/>
      <c r="L227" s="40" t="str">
        <f>INDEX(Overview!$B$8:$B$33,MATCH('OS&amp;E_FF&amp;E'!$A227,Overview!$A$8:$A$33,0))</f>
        <v>F&amp;B: Operating Equipment F&amp;B</v>
      </c>
    </row>
    <row r="228" spans="1:12">
      <c r="A228" s="39" t="s">
        <v>22</v>
      </c>
      <c r="B228" s="84">
        <f>IF(INDEX(Overview!$C$8:$C$33,MATCH('OS&amp;E_FF&amp;E'!A228,Overview!$A$8:$A$33,0))=0,0,1)</f>
        <v>0</v>
      </c>
      <c r="C228" s="13" t="s">
        <v>341</v>
      </c>
      <c r="D228" s="13" t="s">
        <v>326</v>
      </c>
      <c r="E228" s="13">
        <v>2</v>
      </c>
      <c r="F228" s="39"/>
      <c r="G228" s="50">
        <v>22.97</v>
      </c>
      <c r="H228" s="41">
        <f t="shared" si="3"/>
        <v>45.94</v>
      </c>
      <c r="I228" s="39"/>
      <c r="J228" s="39"/>
      <c r="K228" s="39"/>
      <c r="L228" s="40" t="str">
        <f>INDEX(Overview!$B$8:$B$33,MATCH('OS&amp;E_FF&amp;E'!$A228,Overview!$A$8:$A$33,0))</f>
        <v>F&amp;B: Operating Equipment F&amp;B</v>
      </c>
    </row>
    <row r="229" spans="1:12">
      <c r="A229" s="39" t="s">
        <v>22</v>
      </c>
      <c r="B229" s="84">
        <f>IF(INDEX(Overview!$C$8:$C$33,MATCH('OS&amp;E_FF&amp;E'!A229,Overview!$A$8:$A$33,0))=0,0,1)</f>
        <v>0</v>
      </c>
      <c r="C229" s="13" t="s">
        <v>342</v>
      </c>
      <c r="D229" s="13" t="s">
        <v>326</v>
      </c>
      <c r="E229" s="13">
        <v>4</v>
      </c>
      <c r="F229" s="39"/>
      <c r="G229" s="50">
        <v>22.97</v>
      </c>
      <c r="H229" s="41">
        <f t="shared" si="3"/>
        <v>91.88</v>
      </c>
      <c r="I229" s="39"/>
      <c r="J229" s="39"/>
      <c r="K229" s="39"/>
      <c r="L229" s="40" t="str">
        <f>INDEX(Overview!$B$8:$B$33,MATCH('OS&amp;E_FF&amp;E'!$A229,Overview!$A$8:$A$33,0))</f>
        <v>F&amp;B: Operating Equipment F&amp;B</v>
      </c>
    </row>
    <row r="230" spans="1:12">
      <c r="A230" s="39" t="s">
        <v>22</v>
      </c>
      <c r="B230" s="84">
        <f>IF(INDEX(Overview!$C$8:$C$33,MATCH('OS&amp;E_FF&amp;E'!A230,Overview!$A$8:$A$33,0))=0,0,1)</f>
        <v>0</v>
      </c>
      <c r="C230" s="13" t="s">
        <v>343</v>
      </c>
      <c r="D230" s="13" t="s">
        <v>326</v>
      </c>
      <c r="E230" s="13">
        <v>2</v>
      </c>
      <c r="F230" s="39"/>
      <c r="G230" s="50">
        <v>22.97</v>
      </c>
      <c r="H230" s="41">
        <f t="shared" si="3"/>
        <v>45.94</v>
      </c>
      <c r="I230" s="39"/>
      <c r="J230" s="39"/>
      <c r="K230" s="39"/>
      <c r="L230" s="40" t="str">
        <f>INDEX(Overview!$B$8:$B$33,MATCH('OS&amp;E_FF&amp;E'!$A230,Overview!$A$8:$A$33,0))</f>
        <v>F&amp;B: Operating Equipment F&amp;B</v>
      </c>
    </row>
    <row r="231" spans="1:12">
      <c r="A231" s="39" t="s">
        <v>22</v>
      </c>
      <c r="B231" s="84">
        <f>IF(INDEX(Overview!$C$8:$C$33,MATCH('OS&amp;E_FF&amp;E'!A231,Overview!$A$8:$A$33,0))=0,0,1)</f>
        <v>0</v>
      </c>
      <c r="C231" s="13" t="s">
        <v>344</v>
      </c>
      <c r="D231" s="13" t="s">
        <v>326</v>
      </c>
      <c r="E231" s="13">
        <v>1</v>
      </c>
      <c r="F231" s="39"/>
      <c r="G231" s="50">
        <v>40.479999999999997</v>
      </c>
      <c r="H231" s="41">
        <f t="shared" si="3"/>
        <v>40.479999999999997</v>
      </c>
      <c r="I231" s="39"/>
      <c r="J231" s="39"/>
      <c r="K231" s="39"/>
      <c r="L231" s="40" t="str">
        <f>INDEX(Overview!$B$8:$B$33,MATCH('OS&amp;E_FF&amp;E'!$A231,Overview!$A$8:$A$33,0))</f>
        <v>F&amp;B: Operating Equipment F&amp;B</v>
      </c>
    </row>
    <row r="232" spans="1:12">
      <c r="A232" s="39" t="s">
        <v>22</v>
      </c>
      <c r="B232" s="84">
        <f>IF(INDEX(Overview!$C$8:$C$33,MATCH('OS&amp;E_FF&amp;E'!A232,Overview!$A$8:$A$33,0))=0,0,1)</f>
        <v>0</v>
      </c>
      <c r="C232" s="13" t="s">
        <v>345</v>
      </c>
      <c r="D232" s="13" t="s">
        <v>326</v>
      </c>
      <c r="E232" s="13">
        <v>2</v>
      </c>
      <c r="F232" s="39"/>
      <c r="G232" s="50">
        <v>139.13</v>
      </c>
      <c r="H232" s="41">
        <f t="shared" si="3"/>
        <v>278.26</v>
      </c>
      <c r="I232" s="39"/>
      <c r="J232" s="39"/>
      <c r="K232" s="39"/>
      <c r="L232" s="40" t="str">
        <f>INDEX(Overview!$B$8:$B$33,MATCH('OS&amp;E_FF&amp;E'!$A232,Overview!$A$8:$A$33,0))</f>
        <v>F&amp;B: Operating Equipment F&amp;B</v>
      </c>
    </row>
    <row r="233" spans="1:12">
      <c r="A233" s="39" t="s">
        <v>22</v>
      </c>
      <c r="B233" s="84">
        <f>IF(INDEX(Overview!$C$8:$C$33,MATCH('OS&amp;E_FF&amp;E'!A233,Overview!$A$8:$A$33,0))=0,0,1)</f>
        <v>0</v>
      </c>
      <c r="C233" s="13" t="s">
        <v>346</v>
      </c>
      <c r="D233" s="13" t="s">
        <v>347</v>
      </c>
      <c r="E233" s="13">
        <v>2</v>
      </c>
      <c r="F233" s="39"/>
      <c r="G233" s="50">
        <v>260.85000000000002</v>
      </c>
      <c r="H233" s="41">
        <f t="shared" si="3"/>
        <v>521.70000000000005</v>
      </c>
      <c r="I233" s="39"/>
      <c r="J233" s="39"/>
      <c r="K233" s="39"/>
      <c r="L233" s="40" t="str">
        <f>INDEX(Overview!$B$8:$B$33,MATCH('OS&amp;E_FF&amp;E'!$A233,Overview!$A$8:$A$33,0))</f>
        <v>F&amp;B: Operating Equipment F&amp;B</v>
      </c>
    </row>
    <row r="234" spans="1:12">
      <c r="A234" s="39" t="s">
        <v>22</v>
      </c>
      <c r="B234" s="84">
        <f>IF(INDEX(Overview!$C$8:$C$33,MATCH('OS&amp;E_FF&amp;E'!A234,Overview!$A$8:$A$33,0))=0,0,1)</f>
        <v>0</v>
      </c>
      <c r="C234" s="13" t="s">
        <v>348</v>
      </c>
      <c r="D234" s="13" t="s">
        <v>347</v>
      </c>
      <c r="E234" s="13">
        <v>2</v>
      </c>
      <c r="F234" s="39"/>
      <c r="G234" s="50">
        <v>89.95</v>
      </c>
      <c r="H234" s="41">
        <f t="shared" si="3"/>
        <v>179.9</v>
      </c>
      <c r="I234" s="39"/>
      <c r="J234" s="39"/>
      <c r="K234" s="39"/>
      <c r="L234" s="40" t="str">
        <f>INDEX(Overview!$B$8:$B$33,MATCH('OS&amp;E_FF&amp;E'!$A234,Overview!$A$8:$A$33,0))</f>
        <v>F&amp;B: Operating Equipment F&amp;B</v>
      </c>
    </row>
    <row r="235" spans="1:12">
      <c r="A235" s="39" t="s">
        <v>22</v>
      </c>
      <c r="B235" s="84">
        <f>IF(INDEX(Overview!$C$8:$C$33,MATCH('OS&amp;E_FF&amp;E'!A235,Overview!$A$8:$A$33,0))=0,0,1)</f>
        <v>0</v>
      </c>
      <c r="C235" s="13" t="s">
        <v>349</v>
      </c>
      <c r="D235" s="13" t="s">
        <v>347</v>
      </c>
      <c r="E235" s="13">
        <v>25</v>
      </c>
      <c r="F235" s="39"/>
      <c r="G235" s="50">
        <v>7.1</v>
      </c>
      <c r="H235" s="41">
        <f t="shared" si="3"/>
        <v>177.5</v>
      </c>
      <c r="I235" s="39"/>
      <c r="J235" s="39"/>
      <c r="K235" s="39"/>
      <c r="L235" s="40" t="str">
        <f>INDEX(Overview!$B$8:$B$33,MATCH('OS&amp;E_FF&amp;E'!$A235,Overview!$A$8:$A$33,0))</f>
        <v>F&amp;B: Operating Equipment F&amp;B</v>
      </c>
    </row>
    <row r="236" spans="1:12">
      <c r="A236" s="39" t="s">
        <v>22</v>
      </c>
      <c r="B236" s="84">
        <f>IF(INDEX(Overview!$C$8:$C$33,MATCH('OS&amp;E_FF&amp;E'!A236,Overview!$A$8:$A$33,0))=0,0,1)</f>
        <v>0</v>
      </c>
      <c r="C236" s="13" t="s">
        <v>350</v>
      </c>
      <c r="D236" s="13" t="s">
        <v>347</v>
      </c>
      <c r="E236" s="13">
        <v>50</v>
      </c>
      <c r="F236" s="39"/>
      <c r="G236" s="50">
        <v>4.1500000000000004</v>
      </c>
      <c r="H236" s="41">
        <f t="shared" si="3"/>
        <v>207.50000000000003</v>
      </c>
      <c r="I236" s="39"/>
      <c r="J236" s="39"/>
      <c r="K236" s="39"/>
      <c r="L236" s="40" t="str">
        <f>INDEX(Overview!$B$8:$B$33,MATCH('OS&amp;E_FF&amp;E'!$A236,Overview!$A$8:$A$33,0))</f>
        <v>F&amp;B: Operating Equipment F&amp;B</v>
      </c>
    </row>
    <row r="237" spans="1:12">
      <c r="A237" s="39" t="s">
        <v>22</v>
      </c>
      <c r="B237" s="84">
        <f>IF(INDEX(Overview!$C$8:$C$33,MATCH('OS&amp;E_FF&amp;E'!A237,Overview!$A$8:$A$33,0))=0,0,1)</f>
        <v>0</v>
      </c>
      <c r="C237" s="13" t="s">
        <v>351</v>
      </c>
      <c r="D237" s="13" t="s">
        <v>347</v>
      </c>
      <c r="E237" s="13">
        <v>20</v>
      </c>
      <c r="F237" s="39"/>
      <c r="G237" s="50">
        <v>7.25</v>
      </c>
      <c r="H237" s="41">
        <f t="shared" si="3"/>
        <v>145</v>
      </c>
      <c r="I237" s="39"/>
      <c r="J237" s="39"/>
      <c r="K237" s="39"/>
      <c r="L237" s="40" t="str">
        <f>INDEX(Overview!$B$8:$B$33,MATCH('OS&amp;E_FF&amp;E'!$A237,Overview!$A$8:$A$33,0))</f>
        <v>F&amp;B: Operating Equipment F&amp;B</v>
      </c>
    </row>
    <row r="238" spans="1:12">
      <c r="A238" s="39" t="s">
        <v>22</v>
      </c>
      <c r="B238" s="84">
        <f>IF(INDEX(Overview!$C$8:$C$33,MATCH('OS&amp;E_FF&amp;E'!A238,Overview!$A$8:$A$33,0))=0,0,1)</f>
        <v>0</v>
      </c>
      <c r="C238" s="13" t="s">
        <v>352</v>
      </c>
      <c r="D238" s="13" t="s">
        <v>347</v>
      </c>
      <c r="E238" s="13">
        <v>10</v>
      </c>
      <c r="F238" s="39"/>
      <c r="G238" s="50">
        <v>100.2</v>
      </c>
      <c r="H238" s="41">
        <f t="shared" si="3"/>
        <v>1002</v>
      </c>
      <c r="I238" s="39"/>
      <c r="J238" s="39"/>
      <c r="K238" s="39"/>
      <c r="L238" s="40" t="str">
        <f>INDEX(Overview!$B$8:$B$33,MATCH('OS&amp;E_FF&amp;E'!$A238,Overview!$A$8:$A$33,0))</f>
        <v>F&amp;B: Operating Equipment F&amp;B</v>
      </c>
    </row>
    <row r="239" spans="1:12">
      <c r="A239" s="39" t="s">
        <v>22</v>
      </c>
      <c r="B239" s="84">
        <f>IF(INDEX(Overview!$C$8:$C$33,MATCH('OS&amp;E_FF&amp;E'!A239,Overview!$A$8:$A$33,0))=0,0,1)</f>
        <v>0</v>
      </c>
      <c r="C239" s="13" t="s">
        <v>353</v>
      </c>
      <c r="D239" s="13" t="s">
        <v>347</v>
      </c>
      <c r="E239" s="13">
        <v>50</v>
      </c>
      <c r="F239" s="39"/>
      <c r="G239" s="50">
        <v>6.95</v>
      </c>
      <c r="H239" s="41">
        <f t="shared" si="3"/>
        <v>347.5</v>
      </c>
      <c r="I239" s="39"/>
      <c r="J239" s="39"/>
      <c r="K239" s="39"/>
      <c r="L239" s="40" t="str">
        <f>INDEX(Overview!$B$8:$B$33,MATCH('OS&amp;E_FF&amp;E'!$A239,Overview!$A$8:$A$33,0))</f>
        <v>F&amp;B: Operating Equipment F&amp;B</v>
      </c>
    </row>
    <row r="240" spans="1:12">
      <c r="A240" s="39" t="s">
        <v>22</v>
      </c>
      <c r="B240" s="84">
        <f>IF(INDEX(Overview!$C$8:$C$33,MATCH('OS&amp;E_FF&amp;E'!A240,Overview!$A$8:$A$33,0))=0,0,1)</f>
        <v>0</v>
      </c>
      <c r="C240" s="13" t="s">
        <v>354</v>
      </c>
      <c r="D240" s="13" t="s">
        <v>347</v>
      </c>
      <c r="E240" s="13">
        <v>100</v>
      </c>
      <c r="F240" s="39"/>
      <c r="G240" s="50">
        <v>11.05</v>
      </c>
      <c r="H240" s="41">
        <f t="shared" si="3"/>
        <v>1105</v>
      </c>
      <c r="I240" s="39"/>
      <c r="J240" s="39"/>
      <c r="K240" s="39"/>
      <c r="L240" s="40" t="str">
        <f>INDEX(Overview!$B$8:$B$33,MATCH('OS&amp;E_FF&amp;E'!$A240,Overview!$A$8:$A$33,0))</f>
        <v>F&amp;B: Operating Equipment F&amp;B</v>
      </c>
    </row>
    <row r="241" spans="1:18">
      <c r="A241" s="39" t="s">
        <v>22</v>
      </c>
      <c r="B241" s="84">
        <f>IF(INDEX(Overview!$C$8:$C$33,MATCH('OS&amp;E_FF&amp;E'!A241,Overview!$A$8:$A$33,0))=0,0,1)</f>
        <v>0</v>
      </c>
      <c r="C241" s="13" t="s">
        <v>355</v>
      </c>
      <c r="D241" s="13" t="s">
        <v>347</v>
      </c>
      <c r="E241" s="13">
        <v>9</v>
      </c>
      <c r="F241" s="39"/>
      <c r="G241" s="50">
        <v>5.95</v>
      </c>
      <c r="H241" s="41">
        <f t="shared" si="3"/>
        <v>53.550000000000004</v>
      </c>
      <c r="I241" s="39"/>
      <c r="J241" s="39"/>
      <c r="K241" s="39"/>
      <c r="L241" s="40" t="str">
        <f>INDEX(Overview!$B$8:$B$33,MATCH('OS&amp;E_FF&amp;E'!$A241,Overview!$A$8:$A$33,0))</f>
        <v>F&amp;B: Operating Equipment F&amp;B</v>
      </c>
    </row>
    <row r="242" spans="1:18">
      <c r="A242" s="39" t="s">
        <v>22</v>
      </c>
      <c r="B242" s="84">
        <f>IF(INDEX(Overview!$C$8:$C$33,MATCH('OS&amp;E_FF&amp;E'!A242,Overview!$A$8:$A$33,0))=0,0,1)</f>
        <v>0</v>
      </c>
      <c r="C242" s="13" t="s">
        <v>356</v>
      </c>
      <c r="D242" s="13" t="s">
        <v>347</v>
      </c>
      <c r="E242" s="13">
        <v>2</v>
      </c>
      <c r="F242" s="39"/>
      <c r="G242" s="50">
        <v>81.8</v>
      </c>
      <c r="H242" s="41">
        <f t="shared" si="3"/>
        <v>163.6</v>
      </c>
      <c r="I242" s="39"/>
      <c r="J242" s="39"/>
      <c r="K242" s="39"/>
      <c r="L242" s="40" t="str">
        <f>INDEX(Overview!$B$8:$B$33,MATCH('OS&amp;E_FF&amp;E'!$A242,Overview!$A$8:$A$33,0))</f>
        <v>F&amp;B: Operating Equipment F&amp;B</v>
      </c>
    </row>
    <row r="243" spans="1:18">
      <c r="A243" s="39" t="s">
        <v>22</v>
      </c>
      <c r="B243" s="84">
        <f>IF(INDEX(Overview!$C$8:$C$33,MATCH('OS&amp;E_FF&amp;E'!A243,Overview!$A$8:$A$33,0))=0,0,1)</f>
        <v>0</v>
      </c>
      <c r="C243" s="13" t="s">
        <v>357</v>
      </c>
      <c r="D243" s="13" t="s">
        <v>347</v>
      </c>
      <c r="E243" s="13">
        <v>2</v>
      </c>
      <c r="F243" s="66"/>
      <c r="G243" s="50">
        <v>29.9</v>
      </c>
      <c r="H243" s="41">
        <f t="shared" si="3"/>
        <v>59.8</v>
      </c>
      <c r="I243" s="39"/>
      <c r="J243" s="39"/>
      <c r="K243" s="39"/>
      <c r="L243" s="40" t="str">
        <f>INDEX(Overview!$B$8:$B$33,MATCH('OS&amp;E_FF&amp;E'!$A243,Overview!$A$8:$A$33,0))</f>
        <v>F&amp;B: Operating Equipment F&amp;B</v>
      </c>
    </row>
    <row r="244" spans="1:18">
      <c r="A244" s="39" t="s">
        <v>22</v>
      </c>
      <c r="B244" s="84">
        <f>IF(INDEX(Overview!$C$8:$C$33,MATCH('OS&amp;E_FF&amp;E'!A244,Overview!$A$8:$A$33,0))=0,0,1)</f>
        <v>0</v>
      </c>
      <c r="C244" s="13" t="s">
        <v>358</v>
      </c>
      <c r="D244" s="13" t="s">
        <v>347</v>
      </c>
      <c r="E244" s="13">
        <v>10</v>
      </c>
      <c r="F244" s="66"/>
      <c r="G244" s="50">
        <v>32.5</v>
      </c>
      <c r="H244" s="41">
        <f t="shared" si="3"/>
        <v>325</v>
      </c>
      <c r="I244" s="39"/>
      <c r="J244" s="39"/>
      <c r="K244" s="39"/>
      <c r="L244" s="40" t="str">
        <f>INDEX(Overview!$B$8:$B$33,MATCH('OS&amp;E_FF&amp;E'!$A244,Overview!$A$8:$A$33,0))</f>
        <v>F&amp;B: Operating Equipment F&amp;B</v>
      </c>
    </row>
    <row r="245" spans="1:18">
      <c r="A245" s="13" t="s">
        <v>50</v>
      </c>
      <c r="B245" s="86">
        <f>IF(INDEX(Overview!$C$8:$C$33,MATCH('OS&amp;E_FF&amp;E'!A245,Overview!$A$8:$A$33,0))=0,0,1)</f>
        <v>0</v>
      </c>
      <c r="C245" s="13" t="s">
        <v>359</v>
      </c>
      <c r="D245" s="13" t="s">
        <v>360</v>
      </c>
      <c r="E245" s="13">
        <v>6</v>
      </c>
      <c r="F245" s="67" t="s">
        <v>361</v>
      </c>
      <c r="G245" s="41">
        <v>2000</v>
      </c>
      <c r="H245" s="30">
        <f t="shared" si="3"/>
        <v>12000</v>
      </c>
      <c r="I245" s="13"/>
      <c r="J245" s="39"/>
      <c r="K245" s="39"/>
      <c r="L245" s="40" t="str">
        <f>INDEX(Overview!$B$8:$B$33,MATCH('OS&amp;E_FF&amp;E'!$A245,Overview!$A$8:$A$33,0))</f>
        <v xml:space="preserve">Storeroom and pantry shelving </v>
      </c>
    </row>
    <row r="246" spans="1:18">
      <c r="A246" s="13" t="s">
        <v>53</v>
      </c>
      <c r="B246" s="86">
        <f>IF(INDEX(Overview!$C$8:$C$33,MATCH('OS&amp;E_FF&amp;E'!A246,Overview!$A$8:$A$33,0))=0,0,1)</f>
        <v>0</v>
      </c>
      <c r="C246" s="13" t="s">
        <v>362</v>
      </c>
      <c r="D246" s="13" t="s">
        <v>360</v>
      </c>
      <c r="E246" s="13">
        <v>4</v>
      </c>
      <c r="F246" s="67" t="s">
        <v>363</v>
      </c>
      <c r="G246" s="41">
        <v>1500</v>
      </c>
      <c r="H246" s="30">
        <f t="shared" si="3"/>
        <v>6000</v>
      </c>
      <c r="I246" s="13" t="s">
        <v>364</v>
      </c>
      <c r="J246" s="13"/>
      <c r="K246" s="13"/>
      <c r="L246" s="40" t="str">
        <f>INDEX(Overview!$B$8:$B$33,MATCH('OS&amp;E_FF&amp;E'!$A246,Overview!$A$8:$A$33,0))</f>
        <v>FF&amp;E PA</v>
      </c>
      <c r="M246"/>
      <c r="N246"/>
      <c r="O246"/>
      <c r="P246"/>
      <c r="Q246"/>
      <c r="R246"/>
    </row>
    <row r="247" spans="1:18">
      <c r="A247" s="13" t="s">
        <v>53</v>
      </c>
      <c r="B247" s="86">
        <f>IF(INDEX(Overview!$C$8:$C$33,MATCH('OS&amp;E_FF&amp;E'!A247,Overview!$A$8:$A$33,0))=0,0,1)</f>
        <v>0</v>
      </c>
      <c r="C247" s="13" t="s">
        <v>365</v>
      </c>
      <c r="D247" s="13" t="s">
        <v>360</v>
      </c>
      <c r="E247" s="13">
        <v>35</v>
      </c>
      <c r="F247" s="67" t="s">
        <v>366</v>
      </c>
      <c r="G247" s="41">
        <v>350</v>
      </c>
      <c r="H247" s="30">
        <f t="shared" si="3"/>
        <v>12250</v>
      </c>
      <c r="I247" s="13"/>
      <c r="J247" s="13"/>
      <c r="K247" s="13"/>
      <c r="L247" s="40" t="str">
        <f>INDEX(Overview!$B$8:$B$33,MATCH('OS&amp;E_FF&amp;E'!$A247,Overview!$A$8:$A$33,0))</f>
        <v>FF&amp;E PA</v>
      </c>
      <c r="M247"/>
      <c r="N247"/>
      <c r="O247"/>
      <c r="P247"/>
      <c r="Q247"/>
      <c r="R247"/>
    </row>
    <row r="248" spans="1:18">
      <c r="A248" s="13" t="s">
        <v>53</v>
      </c>
      <c r="B248" s="86">
        <f>IF(INDEX(Overview!$C$8:$C$33,MATCH('OS&amp;E_FF&amp;E'!A248,Overview!$A$8:$A$33,0))=0,0,1)</f>
        <v>0</v>
      </c>
      <c r="C248" s="13" t="s">
        <v>367</v>
      </c>
      <c r="D248" s="13" t="s">
        <v>360</v>
      </c>
      <c r="E248" s="13">
        <v>14</v>
      </c>
      <c r="F248" s="67" t="s">
        <v>368</v>
      </c>
      <c r="G248" s="41">
        <v>487</v>
      </c>
      <c r="H248" s="30">
        <f t="shared" si="3"/>
        <v>6818</v>
      </c>
      <c r="I248" s="39"/>
      <c r="J248" s="39"/>
      <c r="K248" s="39"/>
      <c r="L248" s="40" t="str">
        <f>INDEX(Overview!$B$8:$B$33,MATCH('OS&amp;E_FF&amp;E'!$A248,Overview!$A$8:$A$33,0))</f>
        <v>FF&amp;E PA</v>
      </c>
    </row>
    <row r="249" spans="1:18">
      <c r="A249" s="13" t="s">
        <v>53</v>
      </c>
      <c r="B249" s="86">
        <f>IF(INDEX(Overview!$C$8:$C$33,MATCH('OS&amp;E_FF&amp;E'!A249,Overview!$A$8:$A$33,0))=0,0,1)</f>
        <v>0</v>
      </c>
      <c r="C249" s="13" t="s">
        <v>369</v>
      </c>
      <c r="D249" s="13" t="s">
        <v>370</v>
      </c>
      <c r="E249" s="13">
        <v>3</v>
      </c>
      <c r="F249" s="67" t="s">
        <v>371</v>
      </c>
      <c r="G249" s="41">
        <v>1000</v>
      </c>
      <c r="H249" s="30">
        <f t="shared" si="3"/>
        <v>3000</v>
      </c>
      <c r="I249" s="13"/>
      <c r="J249" s="13"/>
      <c r="K249" s="13"/>
      <c r="L249" s="40" t="str">
        <f>INDEX(Overview!$B$8:$B$33,MATCH('OS&amp;E_FF&amp;E'!$A249,Overview!$A$8:$A$33,0))</f>
        <v>FF&amp;E PA</v>
      </c>
      <c r="M249"/>
      <c r="N249"/>
      <c r="O249"/>
      <c r="P249"/>
      <c r="Q249"/>
      <c r="R249"/>
    </row>
    <row r="250" spans="1:18">
      <c r="A250" s="13" t="s">
        <v>53</v>
      </c>
      <c r="B250" s="86">
        <f>IF(INDEX(Overview!$C$8:$C$33,MATCH('OS&amp;E_FF&amp;E'!A250,Overview!$A$8:$A$33,0))=0,0,1)</f>
        <v>0</v>
      </c>
      <c r="C250" s="13" t="s">
        <v>372</v>
      </c>
      <c r="D250" s="13" t="s">
        <v>360</v>
      </c>
      <c r="E250" s="13">
        <v>36</v>
      </c>
      <c r="F250" s="67" t="s">
        <v>373</v>
      </c>
      <c r="G250" s="41">
        <v>245</v>
      </c>
      <c r="H250" s="30">
        <f t="shared" si="3"/>
        <v>8820</v>
      </c>
      <c r="I250" s="13"/>
      <c r="J250" s="13"/>
      <c r="K250" s="13"/>
      <c r="L250" s="40" t="str">
        <f>INDEX(Overview!$B$8:$B$33,MATCH('OS&amp;E_FF&amp;E'!$A250,Overview!$A$8:$A$33,0))</f>
        <v>FF&amp;E PA</v>
      </c>
      <c r="M250"/>
      <c r="N250"/>
      <c r="O250"/>
      <c r="P250"/>
      <c r="Q250"/>
      <c r="R250"/>
    </row>
    <row r="251" spans="1:18">
      <c r="A251" s="13" t="s">
        <v>53</v>
      </c>
      <c r="B251" s="86">
        <f>IF(INDEX(Overview!$C$8:$C$33,MATCH('OS&amp;E_FF&amp;E'!A251,Overview!$A$8:$A$33,0))=0,0,1)</f>
        <v>0</v>
      </c>
      <c r="C251" s="13" t="s">
        <v>374</v>
      </c>
      <c r="D251" s="13" t="s">
        <v>360</v>
      </c>
      <c r="E251" s="13">
        <v>4</v>
      </c>
      <c r="F251" s="67" t="s">
        <v>375</v>
      </c>
      <c r="G251" s="41">
        <v>385</v>
      </c>
      <c r="H251" s="30">
        <f t="shared" si="3"/>
        <v>1540</v>
      </c>
      <c r="I251" s="13" t="s">
        <v>376</v>
      </c>
      <c r="J251" s="13"/>
      <c r="K251" s="13"/>
      <c r="L251" s="40" t="str">
        <f>INDEX(Overview!$B$8:$B$33,MATCH('OS&amp;E_FF&amp;E'!$A251,Overview!$A$8:$A$33,0))</f>
        <v>FF&amp;E PA</v>
      </c>
      <c r="M251"/>
      <c r="N251"/>
      <c r="O251"/>
      <c r="P251"/>
      <c r="Q251"/>
      <c r="R251"/>
    </row>
    <row r="252" spans="1:18">
      <c r="A252" s="13" t="s">
        <v>53</v>
      </c>
      <c r="B252" s="86">
        <f>IF(INDEX(Overview!$C$8:$C$33,MATCH('OS&amp;E_FF&amp;E'!A252,Overview!$A$8:$A$33,0))=0,0,1)</f>
        <v>0</v>
      </c>
      <c r="C252" s="13" t="s">
        <v>377</v>
      </c>
      <c r="D252" s="13" t="s">
        <v>360</v>
      </c>
      <c r="E252" s="13">
        <v>2</v>
      </c>
      <c r="F252" s="67" t="s">
        <v>373</v>
      </c>
      <c r="G252" s="41">
        <v>245</v>
      </c>
      <c r="H252" s="30">
        <f t="shared" si="3"/>
        <v>490</v>
      </c>
      <c r="I252" s="13" t="s">
        <v>378</v>
      </c>
      <c r="J252" s="13"/>
      <c r="K252" s="13"/>
      <c r="L252" s="40" t="str">
        <f>INDEX(Overview!$B$8:$B$33,MATCH('OS&amp;E_FF&amp;E'!$A252,Overview!$A$8:$A$33,0))</f>
        <v>FF&amp;E PA</v>
      </c>
      <c r="M252"/>
      <c r="N252"/>
      <c r="O252"/>
      <c r="P252"/>
      <c r="Q252"/>
      <c r="R252"/>
    </row>
    <row r="253" spans="1:18">
      <c r="A253" s="13" t="s">
        <v>53</v>
      </c>
      <c r="B253" s="86">
        <f>IF(INDEX(Overview!$C$8:$C$33,MATCH('OS&amp;E_FF&amp;E'!A253,Overview!$A$8:$A$33,0))=0,0,1)</f>
        <v>0</v>
      </c>
      <c r="C253" s="13" t="s">
        <v>379</v>
      </c>
      <c r="D253" s="13" t="s">
        <v>360</v>
      </c>
      <c r="E253" s="13">
        <v>2</v>
      </c>
      <c r="F253" s="67" t="s">
        <v>380</v>
      </c>
      <c r="G253" s="41">
        <v>868</v>
      </c>
      <c r="H253" s="30">
        <f t="shared" si="3"/>
        <v>1736</v>
      </c>
      <c r="I253" s="13" t="s">
        <v>381</v>
      </c>
      <c r="J253" s="13"/>
      <c r="K253" s="13"/>
      <c r="L253" s="40" t="str">
        <f>INDEX(Overview!$B$8:$B$33,MATCH('OS&amp;E_FF&amp;E'!$A253,Overview!$A$8:$A$33,0))</f>
        <v>FF&amp;E PA</v>
      </c>
      <c r="M253"/>
      <c r="N253"/>
      <c r="O253"/>
      <c r="P253"/>
      <c r="Q253"/>
      <c r="R253"/>
    </row>
    <row r="254" spans="1:18">
      <c r="A254" s="13" t="s">
        <v>53</v>
      </c>
      <c r="B254" s="86">
        <f>IF(INDEX(Overview!$C$8:$C$33,MATCH('OS&amp;E_FF&amp;E'!A254,Overview!$A$8:$A$33,0))=0,0,1)</f>
        <v>0</v>
      </c>
      <c r="C254" s="13" t="s">
        <v>382</v>
      </c>
      <c r="D254" s="13" t="s">
        <v>360</v>
      </c>
      <c r="E254" s="13">
        <v>1</v>
      </c>
      <c r="F254" s="67" t="s">
        <v>380</v>
      </c>
      <c r="G254" s="41">
        <v>1104</v>
      </c>
      <c r="H254" s="30">
        <f t="shared" si="3"/>
        <v>1104</v>
      </c>
      <c r="I254" s="13" t="s">
        <v>383</v>
      </c>
      <c r="J254" s="13"/>
      <c r="K254" s="13"/>
      <c r="L254" s="40" t="str">
        <f>INDEX(Overview!$B$8:$B$33,MATCH('OS&amp;E_FF&amp;E'!$A254,Overview!$A$8:$A$33,0))</f>
        <v>FF&amp;E PA</v>
      </c>
      <c r="M254"/>
      <c r="N254"/>
      <c r="O254"/>
      <c r="P254"/>
      <c r="Q254"/>
      <c r="R254"/>
    </row>
    <row r="255" spans="1:18">
      <c r="A255" s="13" t="s">
        <v>53</v>
      </c>
      <c r="B255" s="86">
        <f>IF(INDEX(Overview!$C$8:$C$33,MATCH('OS&amp;E_FF&amp;E'!A255,Overview!$A$8:$A$33,0))=0,0,1)</f>
        <v>0</v>
      </c>
      <c r="C255" s="13" t="s">
        <v>384</v>
      </c>
      <c r="D255" s="13" t="s">
        <v>360</v>
      </c>
      <c r="E255" s="13">
        <v>2</v>
      </c>
      <c r="F255" s="67" t="s">
        <v>385</v>
      </c>
      <c r="G255" s="41">
        <v>549</v>
      </c>
      <c r="H255" s="30">
        <f t="shared" si="3"/>
        <v>1098</v>
      </c>
      <c r="I255" s="13" t="s">
        <v>386</v>
      </c>
      <c r="J255" s="13"/>
      <c r="K255" s="13"/>
      <c r="L255" s="40" t="str">
        <f>INDEX(Overview!$B$8:$B$33,MATCH('OS&amp;E_FF&amp;E'!$A255,Overview!$A$8:$A$33,0))</f>
        <v>FF&amp;E PA</v>
      </c>
      <c r="M255"/>
      <c r="N255"/>
      <c r="O255"/>
      <c r="P255"/>
      <c r="Q255"/>
      <c r="R255"/>
    </row>
    <row r="256" spans="1:18">
      <c r="A256" s="13" t="s">
        <v>53</v>
      </c>
      <c r="B256" s="86">
        <f>IF(INDEX(Overview!$C$8:$C$33,MATCH('OS&amp;E_FF&amp;E'!A256,Overview!$A$8:$A$33,0))=0,0,1)</f>
        <v>0</v>
      </c>
      <c r="C256" s="13" t="s">
        <v>387</v>
      </c>
      <c r="D256" s="13" t="s">
        <v>360</v>
      </c>
      <c r="E256" s="13">
        <v>8</v>
      </c>
      <c r="F256" s="67" t="s">
        <v>388</v>
      </c>
      <c r="G256" s="41">
        <v>499</v>
      </c>
      <c r="H256" s="30">
        <f t="shared" si="3"/>
        <v>3992</v>
      </c>
      <c r="I256" s="13" t="s">
        <v>389</v>
      </c>
      <c r="J256" s="13"/>
      <c r="K256" s="13"/>
      <c r="L256" s="40" t="str">
        <f>INDEX(Overview!$B$8:$B$33,MATCH('OS&amp;E_FF&amp;E'!$A256,Overview!$A$8:$A$33,0))</f>
        <v>FF&amp;E PA</v>
      </c>
      <c r="M256"/>
      <c r="N256"/>
      <c r="O256"/>
      <c r="P256"/>
      <c r="Q256"/>
      <c r="R256"/>
    </row>
    <row r="257" spans="1:18">
      <c r="A257" s="13" t="s">
        <v>53</v>
      </c>
      <c r="B257" s="86">
        <f>IF(INDEX(Overview!$C$8:$C$33,MATCH('OS&amp;E_FF&amp;E'!A257,Overview!$A$8:$A$33,0))=0,0,1)</f>
        <v>0</v>
      </c>
      <c r="C257" s="13" t="s">
        <v>390</v>
      </c>
      <c r="D257" s="13" t="s">
        <v>360</v>
      </c>
      <c r="E257" s="13">
        <v>3</v>
      </c>
      <c r="F257" s="67" t="s">
        <v>391</v>
      </c>
      <c r="G257" s="41">
        <v>350</v>
      </c>
      <c r="H257" s="30">
        <f t="shared" si="3"/>
        <v>1050</v>
      </c>
      <c r="I257" s="13" t="s">
        <v>392</v>
      </c>
      <c r="J257" s="13"/>
      <c r="K257" s="13"/>
      <c r="L257" s="40" t="str">
        <f>INDEX(Overview!$B$8:$B$33,MATCH('OS&amp;E_FF&amp;E'!$A257,Overview!$A$8:$A$33,0))</f>
        <v>FF&amp;E PA</v>
      </c>
      <c r="M257"/>
      <c r="N257"/>
      <c r="O257"/>
      <c r="P257"/>
      <c r="Q257"/>
      <c r="R257"/>
    </row>
    <row r="258" spans="1:18">
      <c r="A258" s="13" t="s">
        <v>53</v>
      </c>
      <c r="B258" s="86">
        <f>IF(INDEX(Overview!$C$8:$C$33,MATCH('OS&amp;E_FF&amp;E'!A258,Overview!$A$8:$A$33,0))=0,0,1)</f>
        <v>0</v>
      </c>
      <c r="C258" s="13" t="s">
        <v>393</v>
      </c>
      <c r="D258" s="13" t="s">
        <v>360</v>
      </c>
      <c r="E258" s="13">
        <v>2</v>
      </c>
      <c r="F258" s="67" t="s">
        <v>366</v>
      </c>
      <c r="G258" s="41">
        <v>250</v>
      </c>
      <c r="H258" s="30">
        <f t="shared" ref="H258:H321" si="4">E258*G258</f>
        <v>500</v>
      </c>
      <c r="I258" s="13" t="s">
        <v>392</v>
      </c>
      <c r="J258" s="13"/>
      <c r="K258" s="13"/>
      <c r="L258" s="40" t="str">
        <f>INDEX(Overview!$B$8:$B$33,MATCH('OS&amp;E_FF&amp;E'!$A258,Overview!$A$8:$A$33,0))</f>
        <v>FF&amp;E PA</v>
      </c>
      <c r="M258"/>
      <c r="N258"/>
      <c r="O258"/>
      <c r="P258"/>
      <c r="Q258"/>
      <c r="R258"/>
    </row>
    <row r="259" spans="1:18">
      <c r="A259" s="13" t="s">
        <v>53</v>
      </c>
      <c r="B259" s="86">
        <f>IF(INDEX(Overview!$C$8:$C$33,MATCH('OS&amp;E_FF&amp;E'!A259,Overview!$A$8:$A$33,0))=0,0,1)</f>
        <v>0</v>
      </c>
      <c r="C259" s="13" t="s">
        <v>394</v>
      </c>
      <c r="D259" s="13" t="s">
        <v>360</v>
      </c>
      <c r="E259" s="13">
        <v>5</v>
      </c>
      <c r="F259" s="67" t="s">
        <v>368</v>
      </c>
      <c r="G259" s="41">
        <v>193</v>
      </c>
      <c r="H259" s="30">
        <f t="shared" si="4"/>
        <v>965</v>
      </c>
      <c r="I259" s="13" t="s">
        <v>395</v>
      </c>
      <c r="J259" s="13"/>
      <c r="K259" s="13"/>
      <c r="L259" s="40" t="str">
        <f>INDEX(Overview!$B$8:$B$33,MATCH('OS&amp;E_FF&amp;E'!$A259,Overview!$A$8:$A$33,0))</f>
        <v>FF&amp;E PA</v>
      </c>
      <c r="M259"/>
      <c r="N259"/>
      <c r="O259"/>
      <c r="P259"/>
      <c r="Q259"/>
      <c r="R259"/>
    </row>
    <row r="260" spans="1:18">
      <c r="A260" s="13" t="s">
        <v>53</v>
      </c>
      <c r="B260" s="86">
        <f>IF(INDEX(Overview!$C$8:$C$33,MATCH('OS&amp;E_FF&amp;E'!A260,Overview!$A$8:$A$33,0))=0,0,1)</f>
        <v>0</v>
      </c>
      <c r="C260" s="13" t="s">
        <v>396</v>
      </c>
      <c r="D260" s="13" t="s">
        <v>360</v>
      </c>
      <c r="E260" s="13">
        <v>6</v>
      </c>
      <c r="F260" s="67" t="s">
        <v>373</v>
      </c>
      <c r="G260" s="41">
        <v>545</v>
      </c>
      <c r="H260" s="30">
        <f t="shared" si="4"/>
        <v>3270</v>
      </c>
      <c r="I260" s="13" t="s">
        <v>397</v>
      </c>
      <c r="J260" s="13"/>
      <c r="K260" s="13"/>
      <c r="L260" s="40" t="str">
        <f>INDEX(Overview!$B$8:$B$33,MATCH('OS&amp;E_FF&amp;E'!$A260,Overview!$A$8:$A$33,0))</f>
        <v>FF&amp;E PA</v>
      </c>
      <c r="M260"/>
      <c r="N260"/>
      <c r="O260"/>
      <c r="P260"/>
      <c r="Q260"/>
      <c r="R260"/>
    </row>
    <row r="261" spans="1:18">
      <c r="A261" s="13" t="s">
        <v>53</v>
      </c>
      <c r="B261" s="86">
        <f>IF(INDEX(Overview!$C$8:$C$33,MATCH('OS&amp;E_FF&amp;E'!A261,Overview!$A$8:$A$33,0))=0,0,1)</f>
        <v>0</v>
      </c>
      <c r="C261" s="13" t="s">
        <v>398</v>
      </c>
      <c r="D261" s="13" t="s">
        <v>360</v>
      </c>
      <c r="E261" s="13">
        <v>12</v>
      </c>
      <c r="F261" s="67" t="s">
        <v>368</v>
      </c>
      <c r="G261" s="41">
        <v>450</v>
      </c>
      <c r="H261" s="30">
        <f t="shared" si="4"/>
        <v>5400</v>
      </c>
      <c r="I261" s="13" t="s">
        <v>399</v>
      </c>
      <c r="J261" s="13"/>
      <c r="K261" s="13"/>
      <c r="L261" s="40" t="str">
        <f>INDEX(Overview!$B$8:$B$33,MATCH('OS&amp;E_FF&amp;E'!$A261,Overview!$A$8:$A$33,0))</f>
        <v>FF&amp;E PA</v>
      </c>
      <c r="M261"/>
      <c r="N261"/>
      <c r="O261"/>
      <c r="P261"/>
      <c r="Q261"/>
      <c r="R261"/>
    </row>
    <row r="262" spans="1:18">
      <c r="A262" s="13" t="s">
        <v>53</v>
      </c>
      <c r="B262" s="86">
        <f>IF(INDEX(Overview!$C$8:$C$33,MATCH('OS&amp;E_FF&amp;E'!A262,Overview!$A$8:$A$33,0))=0,0,1)</f>
        <v>0</v>
      </c>
      <c r="C262" s="13" t="s">
        <v>400</v>
      </c>
      <c r="D262" s="13" t="s">
        <v>360</v>
      </c>
      <c r="E262" s="13">
        <v>1</v>
      </c>
      <c r="F262" s="67" t="s">
        <v>401</v>
      </c>
      <c r="G262" s="41">
        <v>450</v>
      </c>
      <c r="H262" s="30">
        <f t="shared" si="4"/>
        <v>450</v>
      </c>
      <c r="I262" s="13" t="s">
        <v>402</v>
      </c>
      <c r="J262" s="13"/>
      <c r="K262" s="13"/>
      <c r="L262" s="40" t="str">
        <f>INDEX(Overview!$B$8:$B$33,MATCH('OS&amp;E_FF&amp;E'!$A262,Overview!$A$8:$A$33,0))</f>
        <v>FF&amp;E PA</v>
      </c>
      <c r="M262"/>
      <c r="N262"/>
      <c r="O262"/>
      <c r="P262"/>
      <c r="Q262"/>
      <c r="R262"/>
    </row>
    <row r="263" spans="1:18">
      <c r="A263" s="13" t="s">
        <v>53</v>
      </c>
      <c r="B263" s="86">
        <f>IF(INDEX(Overview!$C$8:$C$33,MATCH('OS&amp;E_FF&amp;E'!A263,Overview!$A$8:$A$33,0))=0,0,1)</f>
        <v>0</v>
      </c>
      <c r="C263" s="13" t="s">
        <v>403</v>
      </c>
      <c r="D263" s="13" t="s">
        <v>360</v>
      </c>
      <c r="E263" s="13">
        <v>2</v>
      </c>
      <c r="F263" s="67" t="s">
        <v>368</v>
      </c>
      <c r="G263" s="41">
        <v>2571</v>
      </c>
      <c r="H263" s="30">
        <f t="shared" si="4"/>
        <v>5142</v>
      </c>
      <c r="I263" s="13" t="s">
        <v>404</v>
      </c>
      <c r="J263" s="13"/>
      <c r="K263" s="13"/>
      <c r="L263" s="40" t="str">
        <f>INDEX(Overview!$B$8:$B$33,MATCH('OS&amp;E_FF&amp;E'!$A263,Overview!$A$8:$A$33,0))</f>
        <v>FF&amp;E PA</v>
      </c>
      <c r="M263"/>
      <c r="N263"/>
      <c r="O263"/>
      <c r="P263"/>
      <c r="Q263"/>
      <c r="R263"/>
    </row>
    <row r="264" spans="1:18">
      <c r="A264" s="13" t="s">
        <v>53</v>
      </c>
      <c r="B264" s="86">
        <f>IF(INDEX(Overview!$C$8:$C$33,MATCH('OS&amp;E_FF&amp;E'!A264,Overview!$A$8:$A$33,0))=0,0,1)</f>
        <v>0</v>
      </c>
      <c r="C264" s="13" t="s">
        <v>405</v>
      </c>
      <c r="D264" s="13" t="s">
        <v>360</v>
      </c>
      <c r="E264" s="13">
        <v>2</v>
      </c>
      <c r="F264" s="67" t="s">
        <v>368</v>
      </c>
      <c r="G264" s="41">
        <v>2000</v>
      </c>
      <c r="H264" s="30">
        <f t="shared" si="4"/>
        <v>4000</v>
      </c>
      <c r="I264" s="13" t="s">
        <v>406</v>
      </c>
      <c r="J264" s="13"/>
      <c r="K264" s="13"/>
      <c r="L264" s="40" t="str">
        <f>INDEX(Overview!$B$8:$B$33,MATCH('OS&amp;E_FF&amp;E'!$A264,Overview!$A$8:$A$33,0))</f>
        <v>FF&amp;E PA</v>
      </c>
      <c r="M264"/>
      <c r="N264"/>
      <c r="O264"/>
      <c r="P264"/>
      <c r="Q264"/>
      <c r="R264"/>
    </row>
    <row r="265" spans="1:18">
      <c r="A265" s="13" t="s">
        <v>53</v>
      </c>
      <c r="B265" s="86">
        <f>IF(INDEX(Overview!$C$8:$C$33,MATCH('OS&amp;E_FF&amp;E'!A265,Overview!$A$8:$A$33,0))=0,0,1)</f>
        <v>0</v>
      </c>
      <c r="C265" s="13" t="s">
        <v>407</v>
      </c>
      <c r="D265" s="13" t="s">
        <v>360</v>
      </c>
      <c r="E265" s="13">
        <v>4</v>
      </c>
      <c r="F265" s="67" t="s">
        <v>408</v>
      </c>
      <c r="G265" s="41">
        <v>2000</v>
      </c>
      <c r="H265" s="30">
        <f t="shared" si="4"/>
        <v>8000</v>
      </c>
      <c r="I265" s="13" t="s">
        <v>409</v>
      </c>
      <c r="J265" s="13"/>
      <c r="K265" s="13"/>
      <c r="L265" s="40" t="str">
        <f>INDEX(Overview!$B$8:$B$33,MATCH('OS&amp;E_FF&amp;E'!$A265,Overview!$A$8:$A$33,0))</f>
        <v>FF&amp;E PA</v>
      </c>
      <c r="M265"/>
      <c r="N265"/>
      <c r="O265"/>
      <c r="P265"/>
      <c r="Q265"/>
      <c r="R265"/>
    </row>
    <row r="266" spans="1:18">
      <c r="A266" s="13" t="s">
        <v>53</v>
      </c>
      <c r="B266" s="86">
        <f>IF(INDEX(Overview!$C$8:$C$33,MATCH('OS&amp;E_FF&amp;E'!A266,Overview!$A$8:$A$33,0))=0,0,1)</f>
        <v>0</v>
      </c>
      <c r="C266" s="13" t="s">
        <v>410</v>
      </c>
      <c r="D266" s="13" t="s">
        <v>360</v>
      </c>
      <c r="E266" s="13">
        <v>2</v>
      </c>
      <c r="F266" s="67" t="s">
        <v>411</v>
      </c>
      <c r="G266" s="41">
        <v>450</v>
      </c>
      <c r="H266" s="30">
        <f t="shared" si="4"/>
        <v>900</v>
      </c>
      <c r="I266" s="39"/>
      <c r="J266" s="39"/>
      <c r="K266" s="39"/>
      <c r="L266" s="40" t="str">
        <f>INDEX(Overview!$B$8:$B$33,MATCH('OS&amp;E_FF&amp;E'!$A266,Overview!$A$8:$A$33,0))</f>
        <v>FF&amp;E PA</v>
      </c>
    </row>
    <row r="267" spans="1:18">
      <c r="A267" s="13" t="s">
        <v>53</v>
      </c>
      <c r="B267" s="86">
        <f>IF(INDEX(Overview!$C$8:$C$33,MATCH('OS&amp;E_FF&amp;E'!A267,Overview!$A$8:$A$33,0))=0,0,1)</f>
        <v>0</v>
      </c>
      <c r="C267" s="13" t="s">
        <v>412</v>
      </c>
      <c r="D267" s="13" t="s">
        <v>360</v>
      </c>
      <c r="E267" s="13">
        <v>1</v>
      </c>
      <c r="F267" s="67" t="s">
        <v>413</v>
      </c>
      <c r="G267" s="41">
        <v>2000</v>
      </c>
      <c r="H267" s="30">
        <f t="shared" si="4"/>
        <v>2000</v>
      </c>
      <c r="I267" s="13" t="s">
        <v>414</v>
      </c>
      <c r="J267" s="13"/>
      <c r="K267" s="13"/>
      <c r="L267" s="40" t="str">
        <f>INDEX(Overview!$B$8:$B$33,MATCH('OS&amp;E_FF&amp;E'!$A267,Overview!$A$8:$A$33,0))</f>
        <v>FF&amp;E PA</v>
      </c>
      <c r="M267"/>
      <c r="N267"/>
      <c r="O267"/>
      <c r="P267"/>
      <c r="Q267"/>
      <c r="R267"/>
    </row>
    <row r="268" spans="1:18">
      <c r="A268" s="13" t="s">
        <v>53</v>
      </c>
      <c r="B268" s="86">
        <f>IF(INDEX(Overview!$C$8:$C$33,MATCH('OS&amp;E_FF&amp;E'!A268,Overview!$A$8:$A$33,0))=0,0,1)</f>
        <v>0</v>
      </c>
      <c r="C268" s="13" t="s">
        <v>415</v>
      </c>
      <c r="D268" s="13" t="s">
        <v>360</v>
      </c>
      <c r="E268" s="13">
        <v>1</v>
      </c>
      <c r="F268" s="67" t="s">
        <v>413</v>
      </c>
      <c r="G268" s="41">
        <v>4000</v>
      </c>
      <c r="H268" s="30">
        <f t="shared" si="4"/>
        <v>4000</v>
      </c>
      <c r="I268" s="13" t="s">
        <v>416</v>
      </c>
      <c r="J268" s="13"/>
      <c r="K268" s="13"/>
      <c r="L268" s="40" t="str">
        <f>INDEX(Overview!$B$8:$B$33,MATCH('OS&amp;E_FF&amp;E'!$A268,Overview!$A$8:$A$33,0))</f>
        <v>FF&amp;E PA</v>
      </c>
      <c r="M268"/>
      <c r="N268"/>
      <c r="O268"/>
      <c r="P268"/>
      <c r="Q268"/>
      <c r="R268"/>
    </row>
    <row r="269" spans="1:18">
      <c r="A269" s="13" t="s">
        <v>53</v>
      </c>
      <c r="B269" s="86">
        <f>IF(INDEX(Overview!$C$8:$C$33,MATCH('OS&amp;E_FF&amp;E'!A269,Overview!$A$8:$A$33,0))=0,0,1)</f>
        <v>0</v>
      </c>
      <c r="C269" s="13" t="s">
        <v>417</v>
      </c>
      <c r="D269" s="13" t="s">
        <v>360</v>
      </c>
      <c r="E269" s="13">
        <v>1</v>
      </c>
      <c r="F269" s="13" t="s">
        <v>366</v>
      </c>
      <c r="G269" s="41">
        <v>8000</v>
      </c>
      <c r="H269" s="30">
        <f t="shared" si="4"/>
        <v>8000</v>
      </c>
      <c r="I269" s="13"/>
      <c r="J269" s="13"/>
      <c r="K269" s="13"/>
      <c r="L269" s="40" t="str">
        <f>INDEX(Overview!$B$8:$B$33,MATCH('OS&amp;E_FF&amp;E'!$A269,Overview!$A$8:$A$33,0))</f>
        <v>FF&amp;E PA</v>
      </c>
      <c r="M269"/>
      <c r="N269"/>
      <c r="O269"/>
      <c r="P269"/>
      <c r="Q269"/>
      <c r="R269"/>
    </row>
    <row r="270" spans="1:18">
      <c r="A270" s="13" t="s">
        <v>53</v>
      </c>
      <c r="B270" s="86">
        <f>IF(INDEX(Overview!$C$8:$C$33,MATCH('OS&amp;E_FF&amp;E'!A270,Overview!$A$8:$A$33,0))=0,0,1)</f>
        <v>0</v>
      </c>
      <c r="C270" s="13" t="s">
        <v>418</v>
      </c>
      <c r="D270" s="13" t="s">
        <v>360</v>
      </c>
      <c r="E270" s="13">
        <v>6</v>
      </c>
      <c r="F270" s="13" t="s">
        <v>368</v>
      </c>
      <c r="G270" s="41">
        <v>400</v>
      </c>
      <c r="H270" s="30">
        <f t="shared" si="4"/>
        <v>2400</v>
      </c>
      <c r="I270" s="13" t="s">
        <v>419</v>
      </c>
      <c r="J270" s="13"/>
      <c r="K270" s="13"/>
      <c r="L270" s="40" t="str">
        <f>INDEX(Overview!$B$8:$B$33,MATCH('OS&amp;E_FF&amp;E'!$A270,Overview!$A$8:$A$33,0))</f>
        <v>FF&amp;E PA</v>
      </c>
      <c r="M270"/>
      <c r="N270"/>
      <c r="O270"/>
      <c r="P270"/>
      <c r="Q270"/>
      <c r="R270"/>
    </row>
    <row r="271" spans="1:18">
      <c r="A271" s="13" t="s">
        <v>53</v>
      </c>
      <c r="B271" s="86">
        <f>IF(INDEX(Overview!$C$8:$C$33,MATCH('OS&amp;E_FF&amp;E'!A271,Overview!$A$8:$A$33,0))=0,0,1)</f>
        <v>0</v>
      </c>
      <c r="C271" s="13" t="s">
        <v>420</v>
      </c>
      <c r="D271" s="13" t="s">
        <v>360</v>
      </c>
      <c r="E271" s="13">
        <v>2</v>
      </c>
      <c r="F271" s="67" t="s">
        <v>421</v>
      </c>
      <c r="G271" s="41">
        <v>1500</v>
      </c>
      <c r="H271" s="30">
        <f t="shared" si="4"/>
        <v>3000</v>
      </c>
      <c r="I271" s="13" t="s">
        <v>422</v>
      </c>
      <c r="J271" s="13"/>
      <c r="K271" s="13"/>
      <c r="L271" s="40" t="str">
        <f>INDEX(Overview!$B$8:$B$33,MATCH('OS&amp;E_FF&amp;E'!$A271,Overview!$A$8:$A$33,0))</f>
        <v>FF&amp;E PA</v>
      </c>
      <c r="M271"/>
      <c r="N271"/>
      <c r="O271"/>
      <c r="P271"/>
      <c r="Q271"/>
      <c r="R271"/>
    </row>
    <row r="272" spans="1:18">
      <c r="A272" s="13" t="s">
        <v>53</v>
      </c>
      <c r="B272" s="86">
        <f>IF(INDEX(Overview!$C$8:$C$33,MATCH('OS&amp;E_FF&amp;E'!A272,Overview!$A$8:$A$33,0))=0,0,1)</f>
        <v>0</v>
      </c>
      <c r="C272" s="13" t="s">
        <v>423</v>
      </c>
      <c r="D272" s="13" t="s">
        <v>360</v>
      </c>
      <c r="E272" s="13">
        <v>2</v>
      </c>
      <c r="F272" s="67" t="s">
        <v>421</v>
      </c>
      <c r="G272" s="41">
        <v>800</v>
      </c>
      <c r="H272" s="30">
        <f t="shared" si="4"/>
        <v>1600</v>
      </c>
      <c r="I272" s="13" t="s">
        <v>424</v>
      </c>
      <c r="J272" s="13"/>
      <c r="K272" s="13"/>
      <c r="L272" s="40" t="str">
        <f>INDEX(Overview!$B$8:$B$33,MATCH('OS&amp;E_FF&amp;E'!$A272,Overview!$A$8:$A$33,0))</f>
        <v>FF&amp;E PA</v>
      </c>
      <c r="M272"/>
      <c r="N272"/>
      <c r="O272"/>
      <c r="P272"/>
      <c r="Q272"/>
      <c r="R272"/>
    </row>
    <row r="273" spans="1:18">
      <c r="A273" s="13" t="s">
        <v>53</v>
      </c>
      <c r="B273" s="86">
        <f>IF(INDEX(Overview!$C$8:$C$33,MATCH('OS&amp;E_FF&amp;E'!A273,Overview!$A$8:$A$33,0))=0,0,1)</f>
        <v>0</v>
      </c>
      <c r="C273" s="13" t="s">
        <v>425</v>
      </c>
      <c r="D273" s="13" t="s">
        <v>360</v>
      </c>
      <c r="E273" s="13">
        <v>2</v>
      </c>
      <c r="F273" s="67" t="s">
        <v>368</v>
      </c>
      <c r="G273" s="41">
        <v>450</v>
      </c>
      <c r="H273" s="30">
        <f t="shared" si="4"/>
        <v>900</v>
      </c>
      <c r="I273" s="13" t="s">
        <v>426</v>
      </c>
      <c r="J273" s="13"/>
      <c r="K273" s="13"/>
      <c r="L273" s="40" t="str">
        <f>INDEX(Overview!$B$8:$B$33,MATCH('OS&amp;E_FF&amp;E'!$A273,Overview!$A$8:$A$33,0))</f>
        <v>FF&amp;E PA</v>
      </c>
      <c r="M273"/>
      <c r="N273"/>
      <c r="O273"/>
      <c r="P273"/>
      <c r="Q273"/>
      <c r="R273"/>
    </row>
    <row r="274" spans="1:18">
      <c r="A274" s="13" t="s">
        <v>53</v>
      </c>
      <c r="B274" s="86">
        <f>IF(INDEX(Overview!$C$8:$C$33,MATCH('OS&amp;E_FF&amp;E'!A274,Overview!$A$8:$A$33,0))=0,0,1)</f>
        <v>0</v>
      </c>
      <c r="C274" s="13" t="s">
        <v>427</v>
      </c>
      <c r="D274" s="13" t="s">
        <v>360</v>
      </c>
      <c r="E274" s="13">
        <v>5</v>
      </c>
      <c r="F274" s="67" t="s">
        <v>375</v>
      </c>
      <c r="G274" s="41">
        <v>300</v>
      </c>
      <c r="H274" s="30">
        <f t="shared" si="4"/>
        <v>1500</v>
      </c>
      <c r="I274" s="13" t="s">
        <v>428</v>
      </c>
      <c r="J274" s="13"/>
      <c r="K274" s="13"/>
      <c r="L274" s="40" t="str">
        <f>INDEX(Overview!$B$8:$B$33,MATCH('OS&amp;E_FF&amp;E'!$A274,Overview!$A$8:$A$33,0))</f>
        <v>FF&amp;E PA</v>
      </c>
      <c r="M274"/>
      <c r="N274"/>
      <c r="O274"/>
      <c r="P274"/>
      <c r="Q274"/>
      <c r="R274"/>
    </row>
    <row r="275" spans="1:18">
      <c r="A275" s="13" t="s">
        <v>53</v>
      </c>
      <c r="B275" s="86">
        <f>IF(INDEX(Overview!$C$8:$C$33,MATCH('OS&amp;E_FF&amp;E'!A275,Overview!$A$8:$A$33,0))=0,0,1)</f>
        <v>0</v>
      </c>
      <c r="C275" s="13" t="s">
        <v>429</v>
      </c>
      <c r="D275" s="13" t="s">
        <v>360</v>
      </c>
      <c r="E275" s="13">
        <v>5</v>
      </c>
      <c r="F275" s="67" t="s">
        <v>368</v>
      </c>
      <c r="G275" s="41">
        <v>350</v>
      </c>
      <c r="H275" s="30">
        <f t="shared" si="4"/>
        <v>1750</v>
      </c>
      <c r="I275" s="13" t="s">
        <v>430</v>
      </c>
      <c r="J275" s="13"/>
      <c r="K275" s="13"/>
      <c r="L275" s="40" t="str">
        <f>INDEX(Overview!$B$8:$B$33,MATCH('OS&amp;E_FF&amp;E'!$A275,Overview!$A$8:$A$33,0))</f>
        <v>FF&amp;E PA</v>
      </c>
      <c r="M275"/>
      <c r="N275"/>
      <c r="O275"/>
      <c r="P275"/>
      <c r="Q275"/>
      <c r="R275"/>
    </row>
    <row r="276" spans="1:18">
      <c r="A276" s="13" t="s">
        <v>53</v>
      </c>
      <c r="B276" s="86">
        <f>IF(INDEX(Overview!$C$8:$C$33,MATCH('OS&amp;E_FF&amp;E'!A276,Overview!$A$8:$A$33,0))=0,0,1)</f>
        <v>0</v>
      </c>
      <c r="C276" s="13" t="s">
        <v>431</v>
      </c>
      <c r="D276" s="13" t="s">
        <v>360</v>
      </c>
      <c r="E276" s="13">
        <v>1</v>
      </c>
      <c r="F276" s="67" t="s">
        <v>368</v>
      </c>
      <c r="G276" s="41">
        <v>1000</v>
      </c>
      <c r="H276" s="30">
        <f t="shared" si="4"/>
        <v>1000</v>
      </c>
      <c r="I276" s="13" t="s">
        <v>432</v>
      </c>
      <c r="J276" s="13"/>
      <c r="K276" s="13"/>
      <c r="L276" s="40" t="str">
        <f>INDEX(Overview!$B$8:$B$33,MATCH('OS&amp;E_FF&amp;E'!$A276,Overview!$A$8:$A$33,0))</f>
        <v>FF&amp;E PA</v>
      </c>
      <c r="M276"/>
      <c r="N276"/>
      <c r="O276"/>
      <c r="P276"/>
      <c r="Q276"/>
      <c r="R276"/>
    </row>
    <row r="277" spans="1:18">
      <c r="A277" s="13" t="s">
        <v>53</v>
      </c>
      <c r="B277" s="86">
        <f>IF(INDEX(Overview!$C$8:$C$33,MATCH('OS&amp;E_FF&amp;E'!A277,Overview!$A$8:$A$33,0))=0,0,1)</f>
        <v>0</v>
      </c>
      <c r="C277" s="13" t="s">
        <v>433</v>
      </c>
      <c r="D277" s="13" t="s">
        <v>360</v>
      </c>
      <c r="E277" s="13">
        <v>3</v>
      </c>
      <c r="F277" s="67" t="s">
        <v>434</v>
      </c>
      <c r="G277" s="41">
        <v>165</v>
      </c>
      <c r="H277" s="30">
        <f t="shared" si="4"/>
        <v>495</v>
      </c>
      <c r="I277" s="13" t="s">
        <v>435</v>
      </c>
      <c r="J277" s="13"/>
      <c r="K277" s="13"/>
      <c r="L277" s="40" t="str">
        <f>INDEX(Overview!$B$8:$B$33,MATCH('OS&amp;E_FF&amp;E'!$A277,Overview!$A$8:$A$33,0))</f>
        <v>FF&amp;E PA</v>
      </c>
      <c r="M277"/>
      <c r="N277"/>
      <c r="O277"/>
      <c r="P277"/>
      <c r="Q277"/>
      <c r="R277"/>
    </row>
    <row r="278" spans="1:18">
      <c r="A278" s="13" t="s">
        <v>53</v>
      </c>
      <c r="B278" s="86">
        <f>IF(INDEX(Overview!$C$8:$C$33,MATCH('OS&amp;E_FF&amp;E'!A278,Overview!$A$8:$A$33,0))=0,0,1)</f>
        <v>0</v>
      </c>
      <c r="C278" s="13" t="s">
        <v>436</v>
      </c>
      <c r="D278" s="13" t="s">
        <v>360</v>
      </c>
      <c r="E278" s="13">
        <v>4</v>
      </c>
      <c r="F278" s="67" t="s">
        <v>437</v>
      </c>
      <c r="G278" s="41">
        <v>1134</v>
      </c>
      <c r="H278" s="30">
        <f t="shared" si="4"/>
        <v>4536</v>
      </c>
      <c r="I278" s="13" t="s">
        <v>438</v>
      </c>
      <c r="J278" s="13"/>
      <c r="K278" s="13"/>
      <c r="L278" s="40" t="str">
        <f>INDEX(Overview!$B$8:$B$33,MATCH('OS&amp;E_FF&amp;E'!$A278,Overview!$A$8:$A$33,0))</f>
        <v>FF&amp;E PA</v>
      </c>
      <c r="M278"/>
      <c r="N278"/>
      <c r="O278"/>
      <c r="P278"/>
      <c r="Q278"/>
      <c r="R278"/>
    </row>
    <row r="279" spans="1:18">
      <c r="A279" s="13" t="s">
        <v>53</v>
      </c>
      <c r="B279" s="86">
        <f>IF(INDEX(Overview!$C$8:$C$33,MATCH('OS&amp;E_FF&amp;E'!A279,Overview!$A$8:$A$33,0))=0,0,1)</f>
        <v>0</v>
      </c>
      <c r="C279" s="13" t="s">
        <v>439</v>
      </c>
      <c r="D279" s="13" t="s">
        <v>360</v>
      </c>
      <c r="E279" s="13">
        <v>2</v>
      </c>
      <c r="F279" s="67" t="s">
        <v>440</v>
      </c>
      <c r="G279" s="41">
        <v>329</v>
      </c>
      <c r="H279" s="30">
        <f t="shared" si="4"/>
        <v>658</v>
      </c>
      <c r="I279" s="13" t="s">
        <v>441</v>
      </c>
      <c r="J279" s="13"/>
      <c r="K279" s="13"/>
      <c r="L279" s="40" t="str">
        <f>INDEX(Overview!$B$8:$B$33,MATCH('OS&amp;E_FF&amp;E'!$A279,Overview!$A$8:$A$33,0))</f>
        <v>FF&amp;E PA</v>
      </c>
      <c r="M279"/>
      <c r="N279"/>
      <c r="O279"/>
      <c r="P279"/>
      <c r="Q279"/>
      <c r="R279"/>
    </row>
    <row r="280" spans="1:18">
      <c r="A280" s="13" t="s">
        <v>53</v>
      </c>
      <c r="B280" s="86">
        <f>IF(INDEX(Overview!$C$8:$C$33,MATCH('OS&amp;E_FF&amp;E'!A280,Overview!$A$8:$A$33,0))=0,0,1)</f>
        <v>0</v>
      </c>
      <c r="C280" s="13" t="s">
        <v>442</v>
      </c>
      <c r="D280" s="13" t="s">
        <v>360</v>
      </c>
      <c r="E280" s="13">
        <v>4</v>
      </c>
      <c r="F280" s="67" t="s">
        <v>388</v>
      </c>
      <c r="G280" s="41">
        <v>2295</v>
      </c>
      <c r="H280" s="30">
        <f t="shared" si="4"/>
        <v>9180</v>
      </c>
      <c r="I280" s="13" t="s">
        <v>443</v>
      </c>
      <c r="J280" s="13"/>
      <c r="K280" s="13"/>
      <c r="L280" s="40" t="str">
        <f>INDEX(Overview!$B$8:$B$33,MATCH('OS&amp;E_FF&amp;E'!$A280,Overview!$A$8:$A$33,0))</f>
        <v>FF&amp;E PA</v>
      </c>
      <c r="M280"/>
      <c r="N280"/>
      <c r="O280"/>
      <c r="P280"/>
      <c r="Q280"/>
      <c r="R280"/>
    </row>
    <row r="281" spans="1:18">
      <c r="A281" s="39" t="s">
        <v>56</v>
      </c>
      <c r="B281" s="84">
        <f>IF(INDEX(Overview!$C$8:$C$33,MATCH('OS&amp;E_FF&amp;E'!A281,Overview!$A$8:$A$33,0))=0,0,1)</f>
        <v>0</v>
      </c>
      <c r="C281" s="13" t="s">
        <v>444</v>
      </c>
      <c r="D281" s="39" t="s">
        <v>445</v>
      </c>
      <c r="E281" s="39">
        <v>25</v>
      </c>
      <c r="F281" s="66" t="s">
        <v>366</v>
      </c>
      <c r="G281" s="30">
        <v>10</v>
      </c>
      <c r="H281" s="30">
        <f t="shared" si="4"/>
        <v>250</v>
      </c>
      <c r="I281" s="39" t="s">
        <v>446</v>
      </c>
      <c r="J281" s="39"/>
      <c r="K281" s="39"/>
      <c r="L281" s="40" t="str">
        <f>INDEX(Overview!$B$8:$B$33,MATCH('OS&amp;E_FF&amp;E'!$A281,Overview!$A$8:$A$33,0))</f>
        <v xml:space="preserve">Wellness, fitness and recreational equipment </v>
      </c>
    </row>
    <row r="282" spans="1:18">
      <c r="A282" s="39" t="s">
        <v>56</v>
      </c>
      <c r="B282" s="84">
        <f>IF(INDEX(Overview!$C$8:$C$33,MATCH('OS&amp;E_FF&amp;E'!A282,Overview!$A$8:$A$33,0))=0,0,1)</f>
        <v>0</v>
      </c>
      <c r="C282" s="13" t="s">
        <v>447</v>
      </c>
      <c r="D282" s="13" t="s">
        <v>445</v>
      </c>
      <c r="E282" s="13">
        <v>10</v>
      </c>
      <c r="F282" s="67" t="s">
        <v>448</v>
      </c>
      <c r="G282" s="41">
        <v>30</v>
      </c>
      <c r="H282" s="30">
        <f t="shared" si="4"/>
        <v>300</v>
      </c>
      <c r="I282" s="39"/>
      <c r="J282" s="39"/>
      <c r="K282" s="39"/>
      <c r="L282" s="40" t="str">
        <f>INDEX(Overview!$B$8:$B$33,MATCH('OS&amp;E_FF&amp;E'!$A282,Overview!$A$8:$A$33,0))</f>
        <v xml:space="preserve">Wellness, fitness and recreational equipment </v>
      </c>
    </row>
    <row r="283" spans="1:18">
      <c r="A283" s="39" t="s">
        <v>56</v>
      </c>
      <c r="B283" s="84">
        <f>IF(INDEX(Overview!$C$8:$C$33,MATCH('OS&amp;E_FF&amp;E'!A283,Overview!$A$8:$A$33,0))=0,0,1)</f>
        <v>0</v>
      </c>
      <c r="C283" s="13" t="s">
        <v>449</v>
      </c>
      <c r="D283" s="13" t="s">
        <v>445</v>
      </c>
      <c r="E283" s="13">
        <v>1</v>
      </c>
      <c r="F283" s="67" t="s">
        <v>391</v>
      </c>
      <c r="G283" s="41">
        <v>300</v>
      </c>
      <c r="H283" s="30">
        <f t="shared" si="4"/>
        <v>300</v>
      </c>
      <c r="I283" s="13" t="s">
        <v>450</v>
      </c>
      <c r="J283" s="39"/>
      <c r="K283" s="39"/>
      <c r="L283" s="40" t="str">
        <f>INDEX(Overview!$B$8:$B$33,MATCH('OS&amp;E_FF&amp;E'!$A283,Overview!$A$8:$A$33,0))</f>
        <v xml:space="preserve">Wellness, fitness and recreational equipment </v>
      </c>
    </row>
    <row r="284" spans="1:18">
      <c r="A284" s="39" t="s">
        <v>56</v>
      </c>
      <c r="B284" s="84">
        <f>IF(INDEX(Overview!$C$8:$C$33,MATCH('OS&amp;E_FF&amp;E'!A284,Overview!$A$8:$A$33,0))=0,0,1)</f>
        <v>0</v>
      </c>
      <c r="C284" s="13" t="s">
        <v>451</v>
      </c>
      <c r="D284" s="13" t="s">
        <v>445</v>
      </c>
      <c r="E284" s="13">
        <v>25</v>
      </c>
      <c r="F284" s="67" t="s">
        <v>452</v>
      </c>
      <c r="G284" s="41">
        <v>40</v>
      </c>
      <c r="H284" s="30">
        <f t="shared" si="4"/>
        <v>1000</v>
      </c>
      <c r="I284" s="39"/>
      <c r="J284" s="39"/>
      <c r="K284" s="39"/>
      <c r="L284" s="40" t="str">
        <f>INDEX(Overview!$B$8:$B$33,MATCH('OS&amp;E_FF&amp;E'!$A284,Overview!$A$8:$A$33,0))</f>
        <v xml:space="preserve">Wellness, fitness and recreational equipment </v>
      </c>
    </row>
    <row r="285" spans="1:18">
      <c r="A285" s="39" t="s">
        <v>59</v>
      </c>
      <c r="B285" s="84">
        <f>IF(INDEX(Overview!$C$8:$C$33,MATCH('OS&amp;E_FF&amp;E'!A285,Overview!$A$8:$A$33,0))=0,0,1)</f>
        <v>1</v>
      </c>
      <c r="C285" s="13" t="s">
        <v>453</v>
      </c>
      <c r="D285" s="13" t="s">
        <v>360</v>
      </c>
      <c r="E285" s="13">
        <v>1</v>
      </c>
      <c r="F285" s="66" t="s">
        <v>454</v>
      </c>
      <c r="G285" s="30">
        <v>393</v>
      </c>
      <c r="H285" s="30">
        <f t="shared" si="4"/>
        <v>393</v>
      </c>
      <c r="I285" s="39" t="s">
        <v>455</v>
      </c>
      <c r="J285" s="39"/>
      <c r="K285" s="39"/>
      <c r="L285" s="40" t="str">
        <f>INDEX(Overview!$B$8:$B$33,MATCH('OS&amp;E_FF&amp;E'!$A285,Overview!$A$8:$A$33,0))</f>
        <v xml:space="preserve">Baby items </v>
      </c>
    </row>
    <row r="286" spans="1:18">
      <c r="A286" s="39" t="s">
        <v>59</v>
      </c>
      <c r="B286" s="84">
        <f>IF(INDEX(Overview!$C$8:$C$33,MATCH('OS&amp;E_FF&amp;E'!A286,Overview!$A$8:$A$33,0))=0,0,1)</f>
        <v>1</v>
      </c>
      <c r="C286" s="13" t="s">
        <v>456</v>
      </c>
      <c r="D286" s="39" t="s">
        <v>360</v>
      </c>
      <c r="E286" s="39">
        <v>2</v>
      </c>
      <c r="F286" s="69" t="s">
        <v>457</v>
      </c>
      <c r="G286" s="30">
        <v>160</v>
      </c>
      <c r="H286" s="30">
        <f t="shared" si="4"/>
        <v>320</v>
      </c>
      <c r="I286" s="39"/>
      <c r="J286" s="39"/>
      <c r="K286" s="39"/>
      <c r="L286" s="40" t="str">
        <f>INDEX(Overview!$B$8:$B$33,MATCH('OS&amp;E_FF&amp;E'!$A286,Overview!$A$8:$A$33,0))</f>
        <v xml:space="preserve">Baby items </v>
      </c>
    </row>
    <row r="287" spans="1:18">
      <c r="A287" s="39" t="s">
        <v>61</v>
      </c>
      <c r="B287" s="84">
        <f>IF(INDEX(Overview!$C$8:$C$33,MATCH('OS&amp;E_FF&amp;E'!A287,Overview!$A$8:$A$33,0))=0,0,1)</f>
        <v>0</v>
      </c>
      <c r="C287" s="13" t="s">
        <v>458</v>
      </c>
      <c r="D287" s="13" t="s">
        <v>459</v>
      </c>
      <c r="E287" s="13">
        <v>2</v>
      </c>
      <c r="F287" s="67" t="s">
        <v>460</v>
      </c>
      <c r="G287" s="41">
        <v>300</v>
      </c>
      <c r="H287" s="30">
        <f t="shared" si="4"/>
        <v>600</v>
      </c>
      <c r="I287" s="39"/>
      <c r="J287" s="39"/>
      <c r="K287" s="39"/>
      <c r="L287" s="40" t="str">
        <f>INDEX(Overview!$B$8:$B$33,MATCH('OS&amp;E_FF&amp;E'!$A287,Overview!$A$8:$A$33,0))</f>
        <v xml:space="preserve">Office furniture &amp; equipment </v>
      </c>
    </row>
    <row r="288" spans="1:18">
      <c r="A288" s="39" t="s">
        <v>61</v>
      </c>
      <c r="B288" s="84">
        <f>IF(INDEX(Overview!$C$8:$C$33,MATCH('OS&amp;E_FF&amp;E'!A288,Overview!$A$8:$A$33,0))=0,0,1)</f>
        <v>0</v>
      </c>
      <c r="C288" s="13" t="s">
        <v>461</v>
      </c>
      <c r="D288" s="13" t="s">
        <v>462</v>
      </c>
      <c r="E288" s="13">
        <v>5</v>
      </c>
      <c r="F288" s="67" t="s">
        <v>463</v>
      </c>
      <c r="G288" s="41">
        <v>100</v>
      </c>
      <c r="H288" s="30">
        <f t="shared" si="4"/>
        <v>500</v>
      </c>
      <c r="I288" s="39"/>
      <c r="J288" s="39"/>
      <c r="K288" s="39"/>
      <c r="L288" s="40" t="str">
        <f>INDEX(Overview!$B$8:$B$33,MATCH('OS&amp;E_FF&amp;E'!$A288,Overview!$A$8:$A$33,0))</f>
        <v xml:space="preserve">Office furniture &amp; equipment </v>
      </c>
    </row>
    <row r="289" spans="1:18">
      <c r="A289" s="39" t="s">
        <v>61</v>
      </c>
      <c r="B289" s="84">
        <f>IF(INDEX(Overview!$C$8:$C$33,MATCH('OS&amp;E_FF&amp;E'!A289,Overview!$A$8:$A$33,0))=0,0,1)</f>
        <v>0</v>
      </c>
      <c r="C289" s="13" t="s">
        <v>464</v>
      </c>
      <c r="D289" s="13" t="s">
        <v>459</v>
      </c>
      <c r="E289" s="13">
        <v>1</v>
      </c>
      <c r="F289" s="67" t="s">
        <v>463</v>
      </c>
      <c r="G289" s="41">
        <v>100</v>
      </c>
      <c r="H289" s="30">
        <f t="shared" si="4"/>
        <v>100</v>
      </c>
      <c r="I289" s="13" t="s">
        <v>465</v>
      </c>
      <c r="J289" s="39"/>
      <c r="K289" s="39"/>
      <c r="L289" s="40" t="str">
        <f>INDEX(Overview!$B$8:$B$33,MATCH('OS&amp;E_FF&amp;E'!$A289,Overview!$A$8:$A$33,0))</f>
        <v xml:space="preserve">Office furniture &amp; equipment </v>
      </c>
    </row>
    <row r="290" spans="1:18">
      <c r="A290" s="39" t="s">
        <v>61</v>
      </c>
      <c r="B290" s="84">
        <f>IF(INDEX(Overview!$C$8:$C$33,MATCH('OS&amp;E_FF&amp;E'!A290,Overview!$A$8:$A$33,0))=0,0,1)</f>
        <v>0</v>
      </c>
      <c r="C290" s="13" t="s">
        <v>466</v>
      </c>
      <c r="D290" s="13" t="s">
        <v>459</v>
      </c>
      <c r="E290" s="39">
        <v>1</v>
      </c>
      <c r="F290" s="66" t="s">
        <v>460</v>
      </c>
      <c r="G290" s="30">
        <v>500</v>
      </c>
      <c r="H290" s="30">
        <f t="shared" si="4"/>
        <v>500</v>
      </c>
      <c r="I290" s="13" t="s">
        <v>467</v>
      </c>
      <c r="J290" s="39"/>
      <c r="K290" s="39"/>
      <c r="L290" s="40" t="str">
        <f>INDEX(Overview!$B$8:$B$33,MATCH('OS&amp;E_FF&amp;E'!$A290,Overview!$A$8:$A$33,0))</f>
        <v xml:space="preserve">Office furniture &amp; equipment </v>
      </c>
    </row>
    <row r="291" spans="1:18">
      <c r="A291" s="39" t="s">
        <v>61</v>
      </c>
      <c r="B291" s="84">
        <f>IF(INDEX(Overview!$C$8:$C$33,MATCH('OS&amp;E_FF&amp;E'!A291,Overview!$A$8:$A$33,0))=0,0,1)</f>
        <v>0</v>
      </c>
      <c r="C291" s="13" t="s">
        <v>466</v>
      </c>
      <c r="D291" s="13" t="s">
        <v>459</v>
      </c>
      <c r="E291" s="13">
        <v>2</v>
      </c>
      <c r="F291" s="67" t="s">
        <v>460</v>
      </c>
      <c r="G291" s="41">
        <v>500</v>
      </c>
      <c r="H291" s="30">
        <f t="shared" si="4"/>
        <v>1000</v>
      </c>
      <c r="I291" s="13" t="s">
        <v>468</v>
      </c>
      <c r="J291" s="39"/>
      <c r="K291" s="39"/>
      <c r="L291" s="40" t="str">
        <f>INDEX(Overview!$B$8:$B$33,MATCH('OS&amp;E_FF&amp;E'!$A291,Overview!$A$8:$A$33,0))</f>
        <v xml:space="preserve">Office furniture &amp; equipment </v>
      </c>
    </row>
    <row r="292" spans="1:18">
      <c r="A292" s="39" t="s">
        <v>61</v>
      </c>
      <c r="B292" s="84">
        <f>IF(INDEX(Overview!$C$8:$C$33,MATCH('OS&amp;E_FF&amp;E'!A292,Overview!$A$8:$A$33,0))=0,0,1)</f>
        <v>0</v>
      </c>
      <c r="C292" s="13" t="s">
        <v>469</v>
      </c>
      <c r="D292" s="39" t="s">
        <v>360</v>
      </c>
      <c r="E292" s="39">
        <v>20</v>
      </c>
      <c r="F292" s="66"/>
      <c r="G292" s="30">
        <v>300</v>
      </c>
      <c r="H292" s="30">
        <f t="shared" si="4"/>
        <v>6000</v>
      </c>
      <c r="I292" s="39"/>
      <c r="J292" s="39"/>
      <c r="K292" s="39"/>
      <c r="L292" s="40" t="str">
        <f>INDEX(Overview!$B$8:$B$33,MATCH('OS&amp;E_FF&amp;E'!$A292,Overview!$A$8:$A$33,0))</f>
        <v xml:space="preserve">Office furniture &amp; equipment </v>
      </c>
    </row>
    <row r="293" spans="1:18">
      <c r="A293" s="39" t="s">
        <v>61</v>
      </c>
      <c r="B293" s="84">
        <f>IF(INDEX(Overview!$C$8:$C$33,MATCH('OS&amp;E_FF&amp;E'!A293,Overview!$A$8:$A$33,0))=0,0,1)</f>
        <v>0</v>
      </c>
      <c r="C293" s="13" t="s">
        <v>469</v>
      </c>
      <c r="D293" s="13" t="s">
        <v>459</v>
      </c>
      <c r="E293" s="13">
        <v>2</v>
      </c>
      <c r="F293" s="13" t="s">
        <v>460</v>
      </c>
      <c r="G293" s="41">
        <v>250</v>
      </c>
      <c r="H293" s="30">
        <f t="shared" si="4"/>
        <v>500</v>
      </c>
      <c r="I293" s="13"/>
      <c r="J293" s="13"/>
      <c r="K293" s="13"/>
      <c r="L293" s="40" t="str">
        <f>INDEX(Overview!$B$8:$B$33,MATCH('OS&amp;E_FF&amp;E'!$A293,Overview!$A$8:$A$33,0))</f>
        <v xml:space="preserve">Office furniture &amp; equipment </v>
      </c>
      <c r="M293"/>
      <c r="N293"/>
      <c r="O293"/>
      <c r="P293"/>
      <c r="Q293"/>
      <c r="R293"/>
    </row>
    <row r="294" spans="1:18">
      <c r="A294" s="39" t="s">
        <v>61</v>
      </c>
      <c r="B294" s="84">
        <f>IF(INDEX(Overview!$C$8:$C$33,MATCH('OS&amp;E_FF&amp;E'!A294,Overview!$A$8:$A$33,0))=0,0,1)</f>
        <v>0</v>
      </c>
      <c r="C294" s="13" t="s">
        <v>470</v>
      </c>
      <c r="D294" s="13" t="s">
        <v>462</v>
      </c>
      <c r="E294" s="13">
        <v>20</v>
      </c>
      <c r="F294" s="13" t="s">
        <v>463</v>
      </c>
      <c r="G294" s="41">
        <v>1.5</v>
      </c>
      <c r="H294" s="30">
        <f t="shared" si="4"/>
        <v>30</v>
      </c>
      <c r="I294" s="13"/>
      <c r="J294" s="13"/>
      <c r="K294" s="13"/>
      <c r="L294" s="40" t="str">
        <f>INDEX(Overview!$B$8:$B$33,MATCH('OS&amp;E_FF&amp;E'!$A294,Overview!$A$8:$A$33,0))</f>
        <v xml:space="preserve">Office furniture &amp; equipment </v>
      </c>
      <c r="M294"/>
      <c r="N294"/>
      <c r="O294"/>
      <c r="P294"/>
      <c r="Q294"/>
      <c r="R294"/>
    </row>
    <row r="295" spans="1:18">
      <c r="A295" s="39" t="s">
        <v>61</v>
      </c>
      <c r="B295" s="84">
        <f>IF(INDEX(Overview!$C$8:$C$33,MATCH('OS&amp;E_FF&amp;E'!A295,Overview!$A$8:$A$33,0))=0,0,1)</f>
        <v>0</v>
      </c>
      <c r="C295" s="13" t="s">
        <v>471</v>
      </c>
      <c r="D295" s="13" t="s">
        <v>459</v>
      </c>
      <c r="E295" s="13">
        <v>1</v>
      </c>
      <c r="F295" s="13" t="s">
        <v>460</v>
      </c>
      <c r="G295" s="41">
        <v>1000</v>
      </c>
      <c r="H295" s="30">
        <f t="shared" si="4"/>
        <v>1000</v>
      </c>
      <c r="I295" s="13" t="s">
        <v>472</v>
      </c>
      <c r="J295" s="39"/>
      <c r="K295" s="39"/>
      <c r="L295" s="40" t="str">
        <f>INDEX(Overview!$B$8:$B$33,MATCH('OS&amp;E_FF&amp;E'!$A295,Overview!$A$8:$A$33,0))</f>
        <v xml:space="preserve">Office furniture &amp; equipment </v>
      </c>
    </row>
    <row r="296" spans="1:18">
      <c r="A296" s="39" t="s">
        <v>61</v>
      </c>
      <c r="B296" s="84">
        <f>IF(INDEX(Overview!$C$8:$C$33,MATCH('OS&amp;E_FF&amp;E'!A296,Overview!$A$8:$A$33,0))=0,0,1)</f>
        <v>0</v>
      </c>
      <c r="C296" s="13" t="s">
        <v>471</v>
      </c>
      <c r="D296" s="13" t="s">
        <v>459</v>
      </c>
      <c r="E296" s="13">
        <v>2</v>
      </c>
      <c r="F296" s="13" t="s">
        <v>460</v>
      </c>
      <c r="G296" s="41">
        <v>300</v>
      </c>
      <c r="H296" s="30">
        <f t="shared" si="4"/>
        <v>600</v>
      </c>
      <c r="I296" s="13"/>
      <c r="J296" s="39"/>
      <c r="K296" s="39"/>
      <c r="L296" s="40" t="str">
        <f>INDEX(Overview!$B$8:$B$33,MATCH('OS&amp;E_FF&amp;E'!$A296,Overview!$A$8:$A$33,0))</f>
        <v xml:space="preserve">Office furniture &amp; equipment </v>
      </c>
    </row>
    <row r="297" spans="1:18">
      <c r="A297" s="39" t="s">
        <v>61</v>
      </c>
      <c r="B297" s="84">
        <f>IF(INDEX(Overview!$C$8:$C$33,MATCH('OS&amp;E_FF&amp;E'!A297,Overview!$A$8:$A$33,0))=0,0,1)</f>
        <v>0</v>
      </c>
      <c r="C297" s="13" t="s">
        <v>473</v>
      </c>
      <c r="D297" s="13" t="s">
        <v>462</v>
      </c>
      <c r="E297" s="39">
        <v>1</v>
      </c>
      <c r="F297" s="13"/>
      <c r="G297" s="30">
        <v>2500</v>
      </c>
      <c r="H297" s="30">
        <f t="shared" si="4"/>
        <v>2500</v>
      </c>
      <c r="I297" s="39"/>
      <c r="J297" s="39"/>
      <c r="K297" s="39"/>
      <c r="L297" s="40" t="str">
        <f>INDEX(Overview!$B$8:$B$33,MATCH('OS&amp;E_FF&amp;E'!$A297,Overview!$A$8:$A$33,0))</f>
        <v xml:space="preserve">Office furniture &amp; equipment </v>
      </c>
    </row>
    <row r="298" spans="1:18">
      <c r="A298" s="39" t="s">
        <v>61</v>
      </c>
      <c r="B298" s="84">
        <f>IF(INDEX(Overview!$C$8:$C$33,MATCH('OS&amp;E_FF&amp;E'!A298,Overview!$A$8:$A$33,0))=0,0,1)</f>
        <v>0</v>
      </c>
      <c r="C298" s="13" t="s">
        <v>474</v>
      </c>
      <c r="D298" s="39" t="s">
        <v>459</v>
      </c>
      <c r="E298" s="39">
        <v>3</v>
      </c>
      <c r="F298" s="39" t="s">
        <v>463</v>
      </c>
      <c r="G298" s="30">
        <v>500</v>
      </c>
      <c r="H298" s="30">
        <f t="shared" si="4"/>
        <v>1500</v>
      </c>
      <c r="I298" s="39"/>
      <c r="J298" s="39"/>
      <c r="K298" s="39"/>
      <c r="L298" s="40" t="str">
        <f>INDEX(Overview!$B$8:$B$33,MATCH('OS&amp;E_FF&amp;E'!$A298,Overview!$A$8:$A$33,0))</f>
        <v xml:space="preserve">Office furniture &amp; equipment </v>
      </c>
    </row>
    <row r="299" spans="1:18">
      <c r="A299" s="39" t="s">
        <v>61</v>
      </c>
      <c r="B299" s="84">
        <f>IF(INDEX(Overview!$C$8:$C$33,MATCH('OS&amp;E_FF&amp;E'!A299,Overview!$A$8:$A$33,0))=0,0,1)</f>
        <v>0</v>
      </c>
      <c r="C299" s="13" t="s">
        <v>475</v>
      </c>
      <c r="D299" s="13" t="s">
        <v>459</v>
      </c>
      <c r="E299" s="13">
        <v>26</v>
      </c>
      <c r="F299" s="13" t="s">
        <v>460</v>
      </c>
      <c r="G299" s="41">
        <f>5180/26</f>
        <v>199.23076923076923</v>
      </c>
      <c r="H299" s="30">
        <f t="shared" si="4"/>
        <v>5180</v>
      </c>
      <c r="I299" s="13"/>
      <c r="J299" s="39"/>
      <c r="K299" s="39"/>
      <c r="L299" s="40" t="str">
        <f>INDEX(Overview!$B$8:$B$33,MATCH('OS&amp;E_FF&amp;E'!$A299,Overview!$A$8:$A$33,0))</f>
        <v xml:space="preserve">Office furniture &amp; equipment </v>
      </c>
    </row>
    <row r="300" spans="1:18">
      <c r="A300" s="39" t="s">
        <v>61</v>
      </c>
      <c r="B300" s="84">
        <f>IF(INDEX(Overview!$C$8:$C$33,MATCH('OS&amp;E_FF&amp;E'!A300,Overview!$A$8:$A$33,0))=0,0,1)</f>
        <v>0</v>
      </c>
      <c r="C300" s="13" t="s">
        <v>476</v>
      </c>
      <c r="D300" s="13" t="s">
        <v>462</v>
      </c>
      <c r="E300" s="13">
        <v>6</v>
      </c>
      <c r="F300" s="13" t="s">
        <v>463</v>
      </c>
      <c r="G300" s="41">
        <v>100</v>
      </c>
      <c r="H300" s="30">
        <f t="shared" si="4"/>
        <v>600</v>
      </c>
      <c r="I300" s="39"/>
      <c r="J300" s="39"/>
      <c r="K300" s="39"/>
      <c r="L300" s="40" t="str">
        <f>INDEX(Overview!$B$8:$B$33,MATCH('OS&amp;E_FF&amp;E'!$A300,Overview!$A$8:$A$33,0))</f>
        <v xml:space="preserve">Office furniture &amp; equipment </v>
      </c>
    </row>
    <row r="301" spans="1:18">
      <c r="A301" s="39" t="s">
        <v>63</v>
      </c>
      <c r="B301" s="84">
        <f>IF(INDEX(Overview!$C$8:$C$33,MATCH('OS&amp;E_FF&amp;E'!A301,Overview!$A$8:$A$33,0))=0,0,1)</f>
        <v>1</v>
      </c>
      <c r="C301" s="13" t="s">
        <v>477</v>
      </c>
      <c r="D301" s="13" t="s">
        <v>478</v>
      </c>
      <c r="E301" s="13">
        <v>4</v>
      </c>
      <c r="F301" s="13" t="s">
        <v>479</v>
      </c>
      <c r="G301" s="41">
        <v>1600</v>
      </c>
      <c r="H301" s="30">
        <f t="shared" si="4"/>
        <v>6400</v>
      </c>
      <c r="I301" s="13" t="s">
        <v>480</v>
      </c>
      <c r="J301" s="39"/>
      <c r="K301" s="39"/>
      <c r="L301" s="40" t="str">
        <f>INDEX(Overview!$B$8:$B$33,MATCH('OS&amp;E_FF&amp;E'!$A301,Overview!$A$8:$A$33,0))</f>
        <v xml:space="preserve">Public areas accessories </v>
      </c>
    </row>
    <row r="302" spans="1:18">
      <c r="A302" s="39" t="s">
        <v>63</v>
      </c>
      <c r="B302" s="84">
        <f>IF(INDEX(Overview!$C$8:$C$33,MATCH('OS&amp;E_FF&amp;E'!A302,Overview!$A$8:$A$33,0))=0,0,1)</f>
        <v>1</v>
      </c>
      <c r="C302" s="13" t="s">
        <v>481</v>
      </c>
      <c r="D302" s="13" t="s">
        <v>482</v>
      </c>
      <c r="E302" s="39">
        <v>5</v>
      </c>
      <c r="F302" s="39"/>
      <c r="G302" s="30">
        <v>30</v>
      </c>
      <c r="H302" s="30">
        <f t="shared" si="4"/>
        <v>150</v>
      </c>
      <c r="I302" s="39"/>
      <c r="J302" s="46"/>
      <c r="K302" s="46"/>
      <c r="L302" s="40" t="str">
        <f>INDEX(Overview!$B$8:$B$33,MATCH('OS&amp;E_FF&amp;E'!$A302,Overview!$A$8:$A$33,0))</f>
        <v xml:space="preserve">Public areas accessories </v>
      </c>
      <c r="M302"/>
      <c r="N302"/>
      <c r="O302"/>
      <c r="P302"/>
      <c r="Q302"/>
      <c r="R302"/>
    </row>
    <row r="303" spans="1:18">
      <c r="A303" s="13" t="s">
        <v>66</v>
      </c>
      <c r="B303" s="86">
        <f>IF(INDEX(Overview!$C$8:$C$33,MATCH('OS&amp;E_FF&amp;E'!A303,Overview!$A$8:$A$33,0))=0,0,1)</f>
        <v>0</v>
      </c>
      <c r="C303" s="77" t="s">
        <v>483</v>
      </c>
      <c r="D303" s="13"/>
      <c r="E303" s="13">
        <v>0</v>
      </c>
      <c r="F303" s="39"/>
      <c r="G303" s="30">
        <v>151</v>
      </c>
      <c r="H303" s="41">
        <f t="shared" si="4"/>
        <v>0</v>
      </c>
      <c r="I303" s="39"/>
      <c r="J303" s="39"/>
      <c r="K303" s="39"/>
      <c r="L303" s="40" t="str">
        <f>INDEX(Overview!$B$8:$B$33,MATCH('OS&amp;E_FF&amp;E'!$A303,Overview!$A$8:$A$33,0))</f>
        <v>Art &amp; accessories Rooms</v>
      </c>
    </row>
    <row r="304" spans="1:18">
      <c r="A304" s="13" t="s">
        <v>66</v>
      </c>
      <c r="B304" s="86">
        <f>IF(INDEX(Overview!$C$8:$C$33,MATCH('OS&amp;E_FF&amp;E'!A304,Overview!$A$8:$A$33,0))=0,0,1)</f>
        <v>0</v>
      </c>
      <c r="C304" s="36" t="s">
        <v>484</v>
      </c>
      <c r="D304" s="13"/>
      <c r="E304" s="13">
        <v>0</v>
      </c>
      <c r="F304" s="39"/>
      <c r="G304" s="30">
        <v>381</v>
      </c>
      <c r="H304" s="41">
        <f t="shared" si="4"/>
        <v>0</v>
      </c>
      <c r="I304" s="39"/>
      <c r="J304" s="39"/>
      <c r="K304" s="39"/>
      <c r="L304" s="40" t="str">
        <f>INDEX(Overview!$B$8:$B$33,MATCH('OS&amp;E_FF&amp;E'!$A304,Overview!$A$8:$A$33,0))</f>
        <v>Art &amp; accessories Rooms</v>
      </c>
    </row>
    <row r="305" spans="1:12">
      <c r="A305" s="13" t="s">
        <v>66</v>
      </c>
      <c r="B305" s="86">
        <f>IF(INDEX(Overview!$C$8:$C$33,MATCH('OS&amp;E_FF&amp;E'!A305,Overview!$A$8:$A$33,0))=0,0,1)</f>
        <v>0</v>
      </c>
      <c r="C305" s="36" t="s">
        <v>485</v>
      </c>
      <c r="D305" s="13"/>
      <c r="E305" s="13">
        <v>0</v>
      </c>
      <c r="F305" s="39"/>
      <c r="G305" s="30">
        <v>95</v>
      </c>
      <c r="H305" s="41">
        <f t="shared" si="4"/>
        <v>0</v>
      </c>
      <c r="I305" s="39"/>
      <c r="J305" s="39"/>
      <c r="K305" s="39"/>
      <c r="L305" s="40" t="str">
        <f>INDEX(Overview!$B$8:$B$33,MATCH('OS&amp;E_FF&amp;E'!$A305,Overview!$A$8:$A$33,0))</f>
        <v>Art &amp; accessories Rooms</v>
      </c>
    </row>
    <row r="306" spans="1:12">
      <c r="A306" s="13" t="s">
        <v>66</v>
      </c>
      <c r="B306" s="86">
        <f>IF(INDEX(Overview!$C$8:$C$33,MATCH('OS&amp;E_FF&amp;E'!A306,Overview!$A$8:$A$33,0))=0,0,1)</f>
        <v>0</v>
      </c>
      <c r="C306" s="36" t="s">
        <v>486</v>
      </c>
      <c r="D306" s="13"/>
      <c r="E306" s="13">
        <v>0</v>
      </c>
      <c r="F306" s="39"/>
      <c r="G306" s="30">
        <v>280</v>
      </c>
      <c r="H306" s="41">
        <f t="shared" si="4"/>
        <v>0</v>
      </c>
      <c r="I306" s="39"/>
      <c r="J306" s="39"/>
      <c r="K306" s="39"/>
      <c r="L306" s="40" t="str">
        <f>INDEX(Overview!$B$8:$B$33,MATCH('OS&amp;E_FF&amp;E'!$A306,Overview!$A$8:$A$33,0))</f>
        <v>Art &amp; accessories Rooms</v>
      </c>
    </row>
    <row r="307" spans="1:12">
      <c r="A307" s="13" t="s">
        <v>66</v>
      </c>
      <c r="B307" s="86">
        <f>IF(INDEX(Overview!$C$8:$C$33,MATCH('OS&amp;E_FF&amp;E'!A307,Overview!$A$8:$A$33,0))=0,0,1)</f>
        <v>0</v>
      </c>
      <c r="C307" s="36" t="s">
        <v>487</v>
      </c>
      <c r="D307" s="13" t="s">
        <v>488</v>
      </c>
      <c r="E307" s="13">
        <v>0</v>
      </c>
      <c r="F307" s="39"/>
      <c r="G307" s="30">
        <v>80</v>
      </c>
      <c r="H307" s="41">
        <f t="shared" si="4"/>
        <v>0</v>
      </c>
      <c r="I307" s="39"/>
      <c r="J307" s="39"/>
      <c r="K307" s="39"/>
      <c r="L307" s="40" t="str">
        <f>INDEX(Overview!$B$8:$B$33,MATCH('OS&amp;E_FF&amp;E'!$A307,Overview!$A$8:$A$33,0))</f>
        <v>Art &amp; accessories Rooms</v>
      </c>
    </row>
    <row r="308" spans="1:12">
      <c r="A308" s="13" t="s">
        <v>66</v>
      </c>
      <c r="B308" s="86">
        <f>IF(INDEX(Overview!$C$8:$C$33,MATCH('OS&amp;E_FF&amp;E'!A308,Overview!$A$8:$A$33,0))=0,0,1)</f>
        <v>0</v>
      </c>
      <c r="C308" s="36" t="s">
        <v>489</v>
      </c>
      <c r="D308" s="13" t="s">
        <v>488</v>
      </c>
      <c r="E308" s="13">
        <v>0</v>
      </c>
      <c r="F308" s="39"/>
      <c r="G308" s="30">
        <v>80</v>
      </c>
      <c r="H308" s="41">
        <f t="shared" si="4"/>
        <v>0</v>
      </c>
      <c r="I308" s="39"/>
      <c r="J308" s="39"/>
      <c r="K308" s="39"/>
      <c r="L308" s="40" t="str">
        <f>INDEX(Overview!$B$8:$B$33,MATCH('OS&amp;E_FF&amp;E'!$A308,Overview!$A$8:$A$33,0))</f>
        <v>Art &amp; accessories Rooms</v>
      </c>
    </row>
    <row r="309" spans="1:12">
      <c r="A309" s="13" t="s">
        <v>66</v>
      </c>
      <c r="B309" s="86">
        <f>IF(INDEX(Overview!$C$8:$C$33,MATCH('OS&amp;E_FF&amp;E'!A309,Overview!$A$8:$A$33,0))=0,0,1)</f>
        <v>0</v>
      </c>
      <c r="C309" s="78" t="s">
        <v>490</v>
      </c>
      <c r="D309" s="13" t="s">
        <v>488</v>
      </c>
      <c r="E309" s="13">
        <v>0</v>
      </c>
      <c r="F309" s="39"/>
      <c r="G309" s="30">
        <v>80</v>
      </c>
      <c r="H309" s="41">
        <f t="shared" si="4"/>
        <v>0</v>
      </c>
      <c r="I309" s="39"/>
      <c r="J309" s="39"/>
      <c r="K309" s="39"/>
      <c r="L309" s="40" t="str">
        <f>INDEX(Overview!$B$8:$B$33,MATCH('OS&amp;E_FF&amp;E'!$A309,Overview!$A$8:$A$33,0))</f>
        <v>Art &amp; accessories Rooms</v>
      </c>
    </row>
    <row r="310" spans="1:12">
      <c r="A310" s="13" t="s">
        <v>66</v>
      </c>
      <c r="B310" s="86">
        <f>IF(INDEX(Overview!$C$8:$C$33,MATCH('OS&amp;E_FF&amp;E'!A310,Overview!$A$8:$A$33,0))=0,0,1)</f>
        <v>0</v>
      </c>
      <c r="C310" s="36" t="s">
        <v>491</v>
      </c>
      <c r="D310" s="13"/>
      <c r="E310" s="13">
        <v>0</v>
      </c>
      <c r="F310" s="39"/>
      <c r="G310" s="30">
        <v>200</v>
      </c>
      <c r="H310" s="41">
        <f t="shared" si="4"/>
        <v>0</v>
      </c>
      <c r="I310" s="39"/>
      <c r="J310" s="39"/>
      <c r="K310" s="39"/>
      <c r="L310" s="40" t="str">
        <f>INDEX(Overview!$B$8:$B$33,MATCH('OS&amp;E_FF&amp;E'!$A310,Overview!$A$8:$A$33,0))</f>
        <v>Art &amp; accessories Rooms</v>
      </c>
    </row>
    <row r="311" spans="1:12">
      <c r="A311" s="13" t="s">
        <v>66</v>
      </c>
      <c r="B311" s="86">
        <f>IF(INDEX(Overview!$C$8:$C$33,MATCH('OS&amp;E_FF&amp;E'!A311,Overview!$A$8:$A$33,0))=0,0,1)</f>
        <v>0</v>
      </c>
      <c r="C311" s="36" t="s">
        <v>492</v>
      </c>
      <c r="D311" s="13"/>
      <c r="E311" s="13">
        <v>0</v>
      </c>
      <c r="F311" s="39"/>
      <c r="G311" s="30">
        <v>200</v>
      </c>
      <c r="H311" s="41">
        <f t="shared" si="4"/>
        <v>0</v>
      </c>
      <c r="I311" s="39"/>
      <c r="J311" s="39"/>
      <c r="K311" s="39"/>
      <c r="L311" s="40" t="str">
        <f>INDEX(Overview!$B$8:$B$33,MATCH('OS&amp;E_FF&amp;E'!$A311,Overview!$A$8:$A$33,0))</f>
        <v>Art &amp; accessories Rooms</v>
      </c>
    </row>
    <row r="312" spans="1:12">
      <c r="A312" s="13" t="s">
        <v>66</v>
      </c>
      <c r="B312" s="86">
        <f>IF(INDEX(Overview!$C$8:$C$33,MATCH('OS&amp;E_FF&amp;E'!A312,Overview!$A$8:$A$33,0))=0,0,1)</f>
        <v>0</v>
      </c>
      <c r="C312" s="81" t="s">
        <v>493</v>
      </c>
      <c r="D312" s="13" t="s">
        <v>488</v>
      </c>
      <c r="E312" s="13">
        <v>0</v>
      </c>
      <c r="F312" s="39"/>
      <c r="G312" s="30">
        <v>60</v>
      </c>
      <c r="H312" s="41">
        <f t="shared" si="4"/>
        <v>0</v>
      </c>
      <c r="I312" s="39"/>
      <c r="J312" s="39"/>
      <c r="K312" s="39"/>
      <c r="L312" s="40" t="str">
        <f>INDEX(Overview!$B$8:$B$33,MATCH('OS&amp;E_FF&amp;E'!$A312,Overview!$A$8:$A$33,0))</f>
        <v>Art &amp; accessories Rooms</v>
      </c>
    </row>
    <row r="313" spans="1:12">
      <c r="A313" s="13" t="s">
        <v>66</v>
      </c>
      <c r="B313" s="86">
        <f>IF(INDEX(Overview!$C$8:$C$33,MATCH('OS&amp;E_FF&amp;E'!A313,Overview!$A$8:$A$33,0))=0,0,1)</f>
        <v>0</v>
      </c>
      <c r="C313" s="37" t="s">
        <v>494</v>
      </c>
      <c r="D313" s="13"/>
      <c r="E313" s="13">
        <v>0</v>
      </c>
      <c r="F313" s="39"/>
      <c r="G313" s="30">
        <v>220</v>
      </c>
      <c r="H313" s="41">
        <f t="shared" si="4"/>
        <v>0</v>
      </c>
      <c r="I313" s="39"/>
      <c r="J313" s="39"/>
      <c r="K313" s="39"/>
      <c r="L313" s="40" t="str">
        <f>INDEX(Overview!$B$8:$B$33,MATCH('OS&amp;E_FF&amp;E'!$A313,Overview!$A$8:$A$33,0))</f>
        <v>Art &amp; accessories Rooms</v>
      </c>
    </row>
    <row r="314" spans="1:12">
      <c r="A314" s="13" t="s">
        <v>66</v>
      </c>
      <c r="B314" s="86">
        <f>IF(INDEX(Overview!$C$8:$C$33,MATCH('OS&amp;E_FF&amp;E'!A314,Overview!$A$8:$A$33,0))=0,0,1)</f>
        <v>0</v>
      </c>
      <c r="C314" s="37" t="s">
        <v>495</v>
      </c>
      <c r="D314" s="13"/>
      <c r="E314" s="13">
        <v>0</v>
      </c>
      <c r="F314" s="39"/>
      <c r="G314" s="30">
        <v>190</v>
      </c>
      <c r="H314" s="41">
        <f t="shared" si="4"/>
        <v>0</v>
      </c>
      <c r="I314" s="39"/>
      <c r="J314" s="39"/>
      <c r="K314" s="39"/>
      <c r="L314" s="40" t="str">
        <f>INDEX(Overview!$B$8:$B$33,MATCH('OS&amp;E_FF&amp;E'!$A314,Overview!$A$8:$A$33,0))</f>
        <v>Art &amp; accessories Rooms</v>
      </c>
    </row>
    <row r="315" spans="1:12">
      <c r="A315" s="13" t="s">
        <v>66</v>
      </c>
      <c r="B315" s="86">
        <f>IF(INDEX(Overview!$C$8:$C$33,MATCH('OS&amp;E_FF&amp;E'!A315,Overview!$A$8:$A$33,0))=0,0,1)</f>
        <v>0</v>
      </c>
      <c r="C315" s="38" t="s">
        <v>496</v>
      </c>
      <c r="D315" s="13"/>
      <c r="E315" s="13">
        <v>0</v>
      </c>
      <c r="F315" s="39"/>
      <c r="G315" s="30">
        <v>50</v>
      </c>
      <c r="H315" s="41">
        <f t="shared" si="4"/>
        <v>0</v>
      </c>
      <c r="I315" s="39"/>
      <c r="J315" s="39"/>
      <c r="K315" s="39"/>
      <c r="L315" s="40" t="str">
        <f>INDEX(Overview!$B$8:$B$33,MATCH('OS&amp;E_FF&amp;E'!$A315,Overview!$A$8:$A$33,0))</f>
        <v>Art &amp; accessories Rooms</v>
      </c>
    </row>
    <row r="316" spans="1:12">
      <c r="A316" s="13" t="s">
        <v>66</v>
      </c>
      <c r="B316" s="86">
        <f>IF(INDEX(Overview!$C$8:$C$33,MATCH('OS&amp;E_FF&amp;E'!A316,Overview!$A$8:$A$33,0))=0,0,1)</f>
        <v>0</v>
      </c>
      <c r="C316" s="38" t="s">
        <v>497</v>
      </c>
      <c r="D316" s="13"/>
      <c r="E316" s="13">
        <v>0</v>
      </c>
      <c r="F316" s="39"/>
      <c r="G316" s="30">
        <v>45</v>
      </c>
      <c r="H316" s="41">
        <f t="shared" si="4"/>
        <v>0</v>
      </c>
      <c r="I316" s="39"/>
      <c r="J316" s="39"/>
      <c r="K316" s="39"/>
      <c r="L316" s="40" t="str">
        <f>INDEX(Overview!$B$8:$B$33,MATCH('OS&amp;E_FF&amp;E'!$A316,Overview!$A$8:$A$33,0))</f>
        <v>Art &amp; accessories Rooms</v>
      </c>
    </row>
    <row r="317" spans="1:12">
      <c r="A317" s="13" t="s">
        <v>66</v>
      </c>
      <c r="B317" s="86">
        <f>IF(INDEX(Overview!$C$8:$C$33,MATCH('OS&amp;E_FF&amp;E'!A317,Overview!$A$8:$A$33,0))=0,0,1)</f>
        <v>0</v>
      </c>
      <c r="C317" s="38" t="s">
        <v>498</v>
      </c>
      <c r="D317" s="13"/>
      <c r="E317" s="13">
        <v>0</v>
      </c>
      <c r="F317" s="39"/>
      <c r="G317" s="30">
        <v>45</v>
      </c>
      <c r="H317" s="41">
        <f t="shared" si="4"/>
        <v>0</v>
      </c>
      <c r="I317" s="39"/>
      <c r="J317" s="39"/>
      <c r="K317" s="39"/>
      <c r="L317" s="40" t="str">
        <f>INDEX(Overview!$B$8:$B$33,MATCH('OS&amp;E_FF&amp;E'!$A317,Overview!$A$8:$A$33,0))</f>
        <v>Art &amp; accessories Rooms</v>
      </c>
    </row>
    <row r="318" spans="1:12">
      <c r="A318" s="13" t="s">
        <v>66</v>
      </c>
      <c r="B318" s="86">
        <f>IF(INDEX(Overview!$C$8:$C$33,MATCH('OS&amp;E_FF&amp;E'!A318,Overview!$A$8:$A$33,0))=0,0,1)</f>
        <v>0</v>
      </c>
      <c r="C318" s="38" t="s">
        <v>499</v>
      </c>
      <c r="D318" s="13"/>
      <c r="E318" s="13">
        <v>0</v>
      </c>
      <c r="F318" s="39"/>
      <c r="G318" s="30">
        <v>45</v>
      </c>
      <c r="H318" s="41">
        <f t="shared" si="4"/>
        <v>0</v>
      </c>
      <c r="I318" s="39"/>
      <c r="J318" s="39"/>
      <c r="K318" s="39"/>
      <c r="L318" s="40" t="str">
        <f>INDEX(Overview!$B$8:$B$33,MATCH('OS&amp;E_FF&amp;E'!$A318,Overview!$A$8:$A$33,0))</f>
        <v>Art &amp; accessories Rooms</v>
      </c>
    </row>
    <row r="319" spans="1:12">
      <c r="A319" s="13" t="s">
        <v>69</v>
      </c>
      <c r="B319" s="86">
        <f>IF(INDEX(Overview!$C$8:$C$33,MATCH('OS&amp;E_FF&amp;E'!A319,Overview!$A$8:$A$33,0))=0,0,1)</f>
        <v>0</v>
      </c>
      <c r="C319" s="13" t="s">
        <v>500</v>
      </c>
      <c r="D319" s="13"/>
      <c r="E319" s="13">
        <v>0</v>
      </c>
      <c r="F319" s="39"/>
      <c r="G319" s="30">
        <v>540</v>
      </c>
      <c r="H319" s="41">
        <f t="shared" si="4"/>
        <v>0</v>
      </c>
      <c r="I319" s="39"/>
      <c r="J319" s="39"/>
      <c r="K319" s="39"/>
      <c r="L319" s="40" t="str">
        <f>INDEX(Overview!$B$8:$B$33,MATCH('OS&amp;E_FF&amp;E'!$A319,Overview!$A$8:$A$33,0))</f>
        <v>IT</v>
      </c>
    </row>
    <row r="320" spans="1:12">
      <c r="A320" s="39" t="s">
        <v>73</v>
      </c>
      <c r="B320" s="84">
        <f>IF(INDEX(Overview!$C$8:$C$33,MATCH('OS&amp;E_FF&amp;E'!A320,Overview!$A$8:$A$33,0))=0,0,1)</f>
        <v>0</v>
      </c>
      <c r="C320" s="13" t="s">
        <v>501</v>
      </c>
      <c r="D320" s="39" t="s">
        <v>360</v>
      </c>
      <c r="E320" s="39">
        <v>0</v>
      </c>
      <c r="F320" s="13" t="s">
        <v>502</v>
      </c>
      <c r="G320" s="30">
        <v>360</v>
      </c>
      <c r="H320" s="30">
        <f t="shared" si="4"/>
        <v>0</v>
      </c>
      <c r="I320" s="49" t="s">
        <v>503</v>
      </c>
      <c r="J320" s="39"/>
      <c r="K320" s="39"/>
      <c r="L320" s="40" t="str">
        <f>INDEX(Overview!$B$8:$B$33,MATCH('OS&amp;E_FF&amp;E'!$A320,Overview!$A$8:$A$33,0))</f>
        <v>FF&amp;E rooms</v>
      </c>
    </row>
    <row r="321" spans="1:12">
      <c r="A321" s="39" t="s">
        <v>73</v>
      </c>
      <c r="B321" s="84">
        <f>IF(INDEX(Overview!$C$8:$C$33,MATCH('OS&amp;E_FF&amp;E'!A321,Overview!$A$8:$A$33,0))=0,0,1)</f>
        <v>0</v>
      </c>
      <c r="C321" s="34" t="s">
        <v>504</v>
      </c>
      <c r="D321" s="13"/>
      <c r="E321" s="13">
        <v>0</v>
      </c>
      <c r="F321" s="39"/>
      <c r="G321" s="30">
        <v>400</v>
      </c>
      <c r="H321" s="41">
        <f t="shared" si="4"/>
        <v>0</v>
      </c>
      <c r="I321" s="39"/>
      <c r="J321" s="39"/>
      <c r="K321" s="39"/>
      <c r="L321" s="40" t="str">
        <f>INDEX(Overview!$B$8:$B$33,MATCH('OS&amp;E_FF&amp;E'!$A321,Overview!$A$8:$A$33,0))</f>
        <v>FF&amp;E rooms</v>
      </c>
    </row>
    <row r="322" spans="1:12">
      <c r="A322" s="39" t="s">
        <v>73</v>
      </c>
      <c r="B322" s="84">
        <f>IF(INDEX(Overview!$C$8:$C$33,MATCH('OS&amp;E_FF&amp;E'!A322,Overview!$A$8:$A$33,0))=0,0,1)</f>
        <v>0</v>
      </c>
      <c r="C322" s="34" t="s">
        <v>505</v>
      </c>
      <c r="D322" s="13"/>
      <c r="E322" s="13">
        <v>0</v>
      </c>
      <c r="F322" s="39"/>
      <c r="G322" s="30">
        <v>400</v>
      </c>
      <c r="H322" s="41">
        <f t="shared" ref="H322:H353" si="5">E322*G322</f>
        <v>0</v>
      </c>
      <c r="I322" s="39"/>
      <c r="J322" s="39"/>
      <c r="K322" s="39"/>
      <c r="L322" s="40" t="str">
        <f>INDEX(Overview!$B$8:$B$33,MATCH('OS&amp;E_FF&amp;E'!$A322,Overview!$A$8:$A$33,0))</f>
        <v>FF&amp;E rooms</v>
      </c>
    </row>
    <row r="323" spans="1:12">
      <c r="A323" s="39" t="s">
        <v>73</v>
      </c>
      <c r="B323" s="84">
        <f>IF(INDEX(Overview!$C$8:$C$33,MATCH('OS&amp;E_FF&amp;E'!A323,Overview!$A$8:$A$33,0))=0,0,1)</f>
        <v>0</v>
      </c>
      <c r="C323" s="34" t="s">
        <v>506</v>
      </c>
      <c r="D323" s="13"/>
      <c r="E323" s="13">
        <v>0</v>
      </c>
      <c r="F323" s="39"/>
      <c r="G323" s="30">
        <v>400</v>
      </c>
      <c r="H323" s="41">
        <f t="shared" si="5"/>
        <v>0</v>
      </c>
      <c r="I323" s="39"/>
      <c r="J323" s="39"/>
      <c r="K323" s="39"/>
      <c r="L323" s="40" t="str">
        <f>INDEX(Overview!$B$8:$B$33,MATCH('OS&amp;E_FF&amp;E'!$A323,Overview!$A$8:$A$33,0))</f>
        <v>FF&amp;E rooms</v>
      </c>
    </row>
    <row r="324" spans="1:12">
      <c r="A324" s="39" t="s">
        <v>73</v>
      </c>
      <c r="B324" s="84">
        <f>IF(INDEX(Overview!$C$8:$C$33,MATCH('OS&amp;E_FF&amp;E'!A324,Overview!$A$8:$A$33,0))=0,0,1)</f>
        <v>0</v>
      </c>
      <c r="C324" s="34" t="s">
        <v>507</v>
      </c>
      <c r="D324" s="13"/>
      <c r="E324" s="13">
        <v>0</v>
      </c>
      <c r="F324" s="39"/>
      <c r="G324" s="30">
        <v>400</v>
      </c>
      <c r="H324" s="41">
        <f t="shared" si="5"/>
        <v>0</v>
      </c>
      <c r="I324" s="39"/>
      <c r="J324" s="39"/>
      <c r="K324" s="39"/>
      <c r="L324" s="40" t="str">
        <f>INDEX(Overview!$B$8:$B$33,MATCH('OS&amp;E_FF&amp;E'!$A324,Overview!$A$8:$A$33,0))</f>
        <v>FF&amp;E rooms</v>
      </c>
    </row>
    <row r="325" spans="1:12">
      <c r="A325" s="39" t="s">
        <v>73</v>
      </c>
      <c r="B325" s="84">
        <f>IF(INDEX(Overview!$C$8:$C$33,MATCH('OS&amp;E_FF&amp;E'!A325,Overview!$A$8:$A$33,0))=0,0,1)</f>
        <v>0</v>
      </c>
      <c r="C325" s="34" t="s">
        <v>508</v>
      </c>
      <c r="D325" s="13"/>
      <c r="E325" s="13">
        <v>0</v>
      </c>
      <c r="F325" s="39" t="s">
        <v>509</v>
      </c>
      <c r="G325" s="30">
        <v>1200</v>
      </c>
      <c r="H325" s="41">
        <f t="shared" si="5"/>
        <v>0</v>
      </c>
      <c r="I325" s="39"/>
      <c r="J325" s="39"/>
      <c r="K325" s="39"/>
      <c r="L325" s="40" t="str">
        <f>INDEX(Overview!$B$8:$B$33,MATCH('OS&amp;E_FF&amp;E'!$A325,Overview!$A$8:$A$33,0))</f>
        <v>FF&amp;E rooms</v>
      </c>
    </row>
    <row r="326" spans="1:12">
      <c r="A326" s="39" t="s">
        <v>73</v>
      </c>
      <c r="B326" s="84">
        <f>IF(INDEX(Overview!$C$8:$C$33,MATCH('OS&amp;E_FF&amp;E'!A326,Overview!$A$8:$A$33,0))=0,0,1)</f>
        <v>0</v>
      </c>
      <c r="C326" s="34" t="s">
        <v>510</v>
      </c>
      <c r="D326" s="13"/>
      <c r="E326" s="13">
        <v>0</v>
      </c>
      <c r="F326" s="39"/>
      <c r="G326" s="30">
        <v>1000</v>
      </c>
      <c r="H326" s="41">
        <f t="shared" si="5"/>
        <v>0</v>
      </c>
      <c r="I326" s="39"/>
      <c r="J326" s="39"/>
      <c r="K326" s="39"/>
      <c r="L326" s="40" t="str">
        <f>INDEX(Overview!$B$8:$B$33,MATCH('OS&amp;E_FF&amp;E'!$A326,Overview!$A$8:$A$33,0))</f>
        <v>FF&amp;E rooms</v>
      </c>
    </row>
    <row r="327" spans="1:12">
      <c r="A327" s="39" t="s">
        <v>73</v>
      </c>
      <c r="B327" s="84">
        <f>IF(INDEX(Overview!$C$8:$C$33,MATCH('OS&amp;E_FF&amp;E'!A327,Overview!$A$8:$A$33,0))=0,0,1)</f>
        <v>0</v>
      </c>
      <c r="C327" s="34" t="s">
        <v>511</v>
      </c>
      <c r="D327" s="13"/>
      <c r="E327" s="13">
        <v>0</v>
      </c>
      <c r="F327" s="39"/>
      <c r="G327" s="30">
        <v>600</v>
      </c>
      <c r="H327" s="41">
        <f t="shared" si="5"/>
        <v>0</v>
      </c>
      <c r="I327" s="39"/>
      <c r="J327" s="39"/>
      <c r="K327" s="39"/>
      <c r="L327" s="40" t="str">
        <f>INDEX(Overview!$B$8:$B$33,MATCH('OS&amp;E_FF&amp;E'!$A327,Overview!$A$8:$A$33,0))</f>
        <v>FF&amp;E rooms</v>
      </c>
    </row>
    <row r="328" spans="1:12">
      <c r="A328" s="39" t="s">
        <v>73</v>
      </c>
      <c r="B328" s="84">
        <f>IF(INDEX(Overview!$C$8:$C$33,MATCH('OS&amp;E_FF&amp;E'!A328,Overview!$A$8:$A$33,0))=0,0,1)</f>
        <v>0</v>
      </c>
      <c r="C328" s="34" t="s">
        <v>512</v>
      </c>
      <c r="D328" s="13"/>
      <c r="E328" s="13">
        <v>0</v>
      </c>
      <c r="F328" s="39"/>
      <c r="G328" s="30">
        <v>800</v>
      </c>
      <c r="H328" s="41">
        <f t="shared" si="5"/>
        <v>0</v>
      </c>
      <c r="I328" s="39"/>
      <c r="J328" s="39"/>
      <c r="K328" s="39"/>
      <c r="L328" s="40" t="str">
        <f>INDEX(Overview!$B$8:$B$33,MATCH('OS&amp;E_FF&amp;E'!$A328,Overview!$A$8:$A$33,0))</f>
        <v>FF&amp;E rooms</v>
      </c>
    </row>
    <row r="329" spans="1:12">
      <c r="A329" s="39" t="s">
        <v>73</v>
      </c>
      <c r="B329" s="84">
        <f>IF(INDEX(Overview!$C$8:$C$33,MATCH('OS&amp;E_FF&amp;E'!A329,Overview!$A$8:$A$33,0))=0,0,1)</f>
        <v>0</v>
      </c>
      <c r="C329" s="34" t="s">
        <v>513</v>
      </c>
      <c r="D329" s="13"/>
      <c r="E329" s="13">
        <v>0</v>
      </c>
      <c r="F329" s="39"/>
      <c r="G329" s="30">
        <v>650</v>
      </c>
      <c r="H329" s="41">
        <f t="shared" si="5"/>
        <v>0</v>
      </c>
      <c r="I329" s="39"/>
      <c r="J329" s="39"/>
      <c r="K329" s="39"/>
      <c r="L329" s="40" t="str">
        <f>INDEX(Overview!$B$8:$B$33,MATCH('OS&amp;E_FF&amp;E'!$A329,Overview!$A$8:$A$33,0))</f>
        <v>FF&amp;E rooms</v>
      </c>
    </row>
    <row r="330" spans="1:12">
      <c r="A330" s="39" t="s">
        <v>73</v>
      </c>
      <c r="B330" s="84">
        <f>IF(INDEX(Overview!$C$8:$C$33,MATCH('OS&amp;E_FF&amp;E'!A330,Overview!$A$8:$A$33,0))=0,0,1)</f>
        <v>0</v>
      </c>
      <c r="C330" s="34" t="s">
        <v>514</v>
      </c>
      <c r="D330" s="13"/>
      <c r="E330" s="13">
        <v>0</v>
      </c>
      <c r="F330" s="39"/>
      <c r="G330" s="30">
        <v>445</v>
      </c>
      <c r="H330" s="41">
        <f t="shared" si="5"/>
        <v>0</v>
      </c>
      <c r="I330" s="39"/>
      <c r="J330" s="39"/>
      <c r="K330" s="39"/>
      <c r="L330" s="40" t="str">
        <f>INDEX(Overview!$B$8:$B$33,MATCH('OS&amp;E_FF&amp;E'!$A330,Overview!$A$8:$A$33,0))</f>
        <v>FF&amp;E rooms</v>
      </c>
    </row>
    <row r="331" spans="1:12">
      <c r="A331" s="39" t="s">
        <v>73</v>
      </c>
      <c r="B331" s="84">
        <f>IF(INDEX(Overview!$C$8:$C$33,MATCH('OS&amp;E_FF&amp;E'!A331,Overview!$A$8:$A$33,0))=0,0,1)</f>
        <v>0</v>
      </c>
      <c r="C331" s="35" t="s">
        <v>515</v>
      </c>
      <c r="D331" s="13"/>
      <c r="E331" s="13">
        <v>0</v>
      </c>
      <c r="F331" s="39"/>
      <c r="G331" s="30">
        <v>185</v>
      </c>
      <c r="H331" s="41">
        <f t="shared" si="5"/>
        <v>0</v>
      </c>
      <c r="I331" s="39"/>
      <c r="J331" s="39"/>
      <c r="K331" s="39"/>
      <c r="L331" s="40" t="str">
        <f>INDEX(Overview!$B$8:$B$33,MATCH('OS&amp;E_FF&amp;E'!$A331,Overview!$A$8:$A$33,0))</f>
        <v>FF&amp;E rooms</v>
      </c>
    </row>
    <row r="332" spans="1:12">
      <c r="A332" s="39" t="s">
        <v>73</v>
      </c>
      <c r="B332" s="84">
        <f>IF(INDEX(Overview!$C$8:$C$33,MATCH('OS&amp;E_FF&amp;E'!A332,Overview!$A$8:$A$33,0))=0,0,1)</f>
        <v>0</v>
      </c>
      <c r="C332" s="35" t="s">
        <v>516</v>
      </c>
      <c r="D332" s="13"/>
      <c r="E332" s="13">
        <v>0</v>
      </c>
      <c r="F332" s="39"/>
      <c r="G332" s="30">
        <v>400</v>
      </c>
      <c r="H332" s="41">
        <f t="shared" si="5"/>
        <v>0</v>
      </c>
      <c r="I332" s="39"/>
      <c r="J332" s="39"/>
      <c r="K332" s="39"/>
      <c r="L332" s="40" t="str">
        <f>INDEX(Overview!$B$8:$B$33,MATCH('OS&amp;E_FF&amp;E'!$A332,Overview!$A$8:$A$33,0))</f>
        <v>FF&amp;E rooms</v>
      </c>
    </row>
    <row r="333" spans="1:12">
      <c r="A333" s="39" t="s">
        <v>73</v>
      </c>
      <c r="B333" s="84">
        <f>IF(INDEX(Overview!$C$8:$C$33,MATCH('OS&amp;E_FF&amp;E'!A333,Overview!$A$8:$A$33,0))=0,0,1)</f>
        <v>0</v>
      </c>
      <c r="C333" s="35" t="s">
        <v>517</v>
      </c>
      <c r="D333" s="13"/>
      <c r="E333" s="13">
        <v>0</v>
      </c>
      <c r="F333" s="39"/>
      <c r="G333" s="30">
        <v>1100</v>
      </c>
      <c r="H333" s="41">
        <f t="shared" si="5"/>
        <v>0</v>
      </c>
      <c r="I333" s="39"/>
      <c r="J333" s="39"/>
      <c r="K333" s="39"/>
      <c r="L333" s="40" t="str">
        <f>INDEX(Overview!$B$8:$B$33,MATCH('OS&amp;E_FF&amp;E'!$A333,Overview!$A$8:$A$33,0))</f>
        <v>FF&amp;E rooms</v>
      </c>
    </row>
    <row r="334" spans="1:12">
      <c r="A334" s="39" t="s">
        <v>73</v>
      </c>
      <c r="B334" s="84">
        <f>IF(INDEX(Overview!$C$8:$C$33,MATCH('OS&amp;E_FF&amp;E'!A334,Overview!$A$8:$A$33,0))=0,0,1)</f>
        <v>0</v>
      </c>
      <c r="C334" s="35" t="s">
        <v>518</v>
      </c>
      <c r="D334" s="13"/>
      <c r="E334" s="13">
        <v>0</v>
      </c>
      <c r="F334" s="39"/>
      <c r="G334" s="30">
        <v>1100</v>
      </c>
      <c r="H334" s="41">
        <f t="shared" si="5"/>
        <v>0</v>
      </c>
      <c r="I334" s="39"/>
      <c r="J334" s="39"/>
      <c r="K334" s="39"/>
      <c r="L334" s="40" t="str">
        <f>INDEX(Overview!$B$8:$B$33,MATCH('OS&amp;E_FF&amp;E'!$A334,Overview!$A$8:$A$33,0))</f>
        <v>FF&amp;E rooms</v>
      </c>
    </row>
    <row r="335" spans="1:12">
      <c r="A335" s="39" t="s">
        <v>73</v>
      </c>
      <c r="B335" s="84">
        <f>IF(INDEX(Overview!$C$8:$C$33,MATCH('OS&amp;E_FF&amp;E'!A335,Overview!$A$8:$A$33,0))=0,0,1)</f>
        <v>0</v>
      </c>
      <c r="C335" s="35" t="s">
        <v>519</v>
      </c>
      <c r="D335" s="13"/>
      <c r="E335" s="13">
        <v>0</v>
      </c>
      <c r="F335" s="39"/>
      <c r="G335" s="30">
        <v>600</v>
      </c>
      <c r="H335" s="41">
        <f t="shared" si="5"/>
        <v>0</v>
      </c>
      <c r="I335" s="39"/>
      <c r="J335" s="39"/>
      <c r="K335" s="39"/>
      <c r="L335" s="40" t="str">
        <f>INDEX(Overview!$B$8:$B$33,MATCH('OS&amp;E_FF&amp;E'!$A335,Overview!$A$8:$A$33,0))</f>
        <v>FF&amp;E rooms</v>
      </c>
    </row>
    <row r="336" spans="1:12">
      <c r="A336" s="39" t="s">
        <v>73</v>
      </c>
      <c r="B336" s="84">
        <f>IF(INDEX(Overview!$C$8:$C$33,MATCH('OS&amp;E_FF&amp;E'!A336,Overview!$A$8:$A$33,0))=0,0,1)</f>
        <v>0</v>
      </c>
      <c r="C336" s="35" t="s">
        <v>520</v>
      </c>
      <c r="D336" s="13"/>
      <c r="E336" s="13">
        <v>0</v>
      </c>
      <c r="F336" s="39"/>
      <c r="G336" s="30">
        <v>500</v>
      </c>
      <c r="H336" s="41">
        <f t="shared" si="5"/>
        <v>0</v>
      </c>
      <c r="I336" s="39"/>
      <c r="J336" s="39"/>
      <c r="K336" s="39"/>
      <c r="L336" s="40" t="str">
        <f>INDEX(Overview!$B$8:$B$33,MATCH('OS&amp;E_FF&amp;E'!$A336,Overview!$A$8:$A$33,0))</f>
        <v>FF&amp;E rooms</v>
      </c>
    </row>
    <row r="337" spans="1:18">
      <c r="A337" s="39" t="s">
        <v>73</v>
      </c>
      <c r="B337" s="84">
        <f>IF(INDEX(Overview!$C$8:$C$33,MATCH('OS&amp;E_FF&amp;E'!A337,Overview!$A$8:$A$33,0))=0,0,1)</f>
        <v>0</v>
      </c>
      <c r="C337" s="36" t="s">
        <v>521</v>
      </c>
      <c r="D337" s="13"/>
      <c r="E337" s="13">
        <v>0</v>
      </c>
      <c r="F337" s="39"/>
      <c r="G337" s="30">
        <v>250</v>
      </c>
      <c r="H337" s="41">
        <f t="shared" si="5"/>
        <v>0</v>
      </c>
      <c r="I337" s="39"/>
      <c r="J337" s="39"/>
      <c r="K337" s="39"/>
      <c r="L337" s="40" t="str">
        <f>INDEX(Overview!$B$8:$B$33,MATCH('OS&amp;E_FF&amp;E'!$A337,Overview!$A$8:$A$33,0))</f>
        <v>FF&amp;E rooms</v>
      </c>
    </row>
    <row r="338" spans="1:18">
      <c r="A338" s="39" t="s">
        <v>73</v>
      </c>
      <c r="B338" s="84">
        <f>IF(INDEX(Overview!$C$8:$C$33,MATCH('OS&amp;E_FF&amp;E'!A338,Overview!$A$8:$A$33,0))=0,0,1)</f>
        <v>0</v>
      </c>
      <c r="C338" s="38" t="s">
        <v>522</v>
      </c>
      <c r="D338" s="13"/>
      <c r="E338" s="13">
        <v>0</v>
      </c>
      <c r="F338" s="39"/>
      <c r="G338" s="30">
        <v>500</v>
      </c>
      <c r="H338" s="41">
        <f t="shared" si="5"/>
        <v>0</v>
      </c>
      <c r="I338" s="39"/>
      <c r="J338" s="39"/>
      <c r="K338" s="39"/>
      <c r="L338" s="40" t="str">
        <f>INDEX(Overview!$B$8:$B$33,MATCH('OS&amp;E_FF&amp;E'!$A338,Overview!$A$8:$A$33,0))</f>
        <v>FF&amp;E rooms</v>
      </c>
    </row>
    <row r="339" spans="1:18">
      <c r="A339" s="39" t="s">
        <v>73</v>
      </c>
      <c r="B339" s="84">
        <f>IF(INDEX(Overview!$C$8:$C$33,MATCH('OS&amp;E_FF&amp;E'!A339,Overview!$A$8:$A$33,0))=0,0,1)</f>
        <v>0</v>
      </c>
      <c r="C339" s="38" t="s">
        <v>523</v>
      </c>
      <c r="D339" s="13"/>
      <c r="E339" s="13">
        <v>0</v>
      </c>
      <c r="F339" s="39"/>
      <c r="G339" s="30">
        <v>500</v>
      </c>
      <c r="H339" s="41">
        <f t="shared" si="5"/>
        <v>0</v>
      </c>
      <c r="I339" s="39"/>
      <c r="J339" s="39"/>
      <c r="K339" s="39"/>
      <c r="L339" s="40" t="str">
        <f>INDEX(Overview!$B$8:$B$33,MATCH('OS&amp;E_FF&amp;E'!$A339,Overview!$A$8:$A$33,0))</f>
        <v>FF&amp;E rooms</v>
      </c>
    </row>
    <row r="340" spans="1:18">
      <c r="A340" s="39" t="s">
        <v>73</v>
      </c>
      <c r="B340" s="84">
        <f>IF(INDEX(Overview!$C$8:$C$33,MATCH('OS&amp;E_FF&amp;E'!A340,Overview!$A$8:$A$33,0))=0,0,1)</f>
        <v>0</v>
      </c>
      <c r="C340" s="38" t="s">
        <v>524</v>
      </c>
      <c r="D340" s="13"/>
      <c r="E340" s="13">
        <v>0</v>
      </c>
      <c r="F340" s="39"/>
      <c r="G340" s="30">
        <v>500</v>
      </c>
      <c r="H340" s="41">
        <f t="shared" si="5"/>
        <v>0</v>
      </c>
      <c r="I340" s="39"/>
      <c r="J340" s="39"/>
      <c r="K340" s="39"/>
      <c r="L340" s="40" t="str">
        <f>INDEX(Overview!$B$8:$B$33,MATCH('OS&amp;E_FF&amp;E'!$A340,Overview!$A$8:$A$33,0))</f>
        <v>FF&amp;E rooms</v>
      </c>
    </row>
    <row r="341" spans="1:18">
      <c r="A341" s="39" t="s">
        <v>73</v>
      </c>
      <c r="B341" s="84">
        <f>IF(INDEX(Overview!$C$8:$C$33,MATCH('OS&amp;E_FF&amp;E'!A341,Overview!$A$8:$A$33,0))=0,0,1)</f>
        <v>0</v>
      </c>
      <c r="C341" s="38" t="s">
        <v>525</v>
      </c>
      <c r="D341" s="13"/>
      <c r="E341" s="13">
        <v>0</v>
      </c>
      <c r="F341" s="39"/>
      <c r="G341" s="30">
        <v>800</v>
      </c>
      <c r="H341" s="41">
        <f t="shared" si="5"/>
        <v>0</v>
      </c>
      <c r="I341" s="39"/>
      <c r="J341" s="39"/>
      <c r="K341" s="39"/>
      <c r="L341" s="40" t="str">
        <f>INDEX(Overview!$B$8:$B$33,MATCH('OS&amp;E_FF&amp;E'!$A341,Overview!$A$8:$A$33,0))</f>
        <v>FF&amp;E rooms</v>
      </c>
    </row>
    <row r="342" spans="1:18">
      <c r="A342" s="39" t="s">
        <v>73</v>
      </c>
      <c r="B342" s="84">
        <f>IF(INDEX(Overview!$C$8:$C$33,MATCH('OS&amp;E_FF&amp;E'!A342,Overview!$A$8:$A$33,0))=0,0,1)</f>
        <v>0</v>
      </c>
      <c r="C342" s="13" t="s">
        <v>526</v>
      </c>
      <c r="D342" s="13"/>
      <c r="E342" s="13">
        <v>0</v>
      </c>
      <c r="F342" s="39"/>
      <c r="G342" s="30">
        <v>45</v>
      </c>
      <c r="H342" s="41">
        <f t="shared" si="5"/>
        <v>0</v>
      </c>
      <c r="I342" s="39"/>
      <c r="J342" s="39"/>
      <c r="K342" s="39"/>
      <c r="L342" s="40" t="str">
        <f>INDEX(Overview!$B$8:$B$33,MATCH('OS&amp;E_FF&amp;E'!$A342,Overview!$A$8:$A$33,0))</f>
        <v>FF&amp;E rooms</v>
      </c>
    </row>
    <row r="343" spans="1:18">
      <c r="A343" s="39" t="s">
        <v>73</v>
      </c>
      <c r="B343" s="84">
        <f>IF(INDEX(Overview!$C$8:$C$33,MATCH('OS&amp;E_FF&amp;E'!A343,Overview!$A$8:$A$33,0))=0,0,1)</f>
        <v>0</v>
      </c>
      <c r="C343" s="13" t="s">
        <v>527</v>
      </c>
      <c r="D343" s="13"/>
      <c r="E343" s="13">
        <v>0</v>
      </c>
      <c r="F343" s="39"/>
      <c r="G343" s="30">
        <v>756</v>
      </c>
      <c r="H343" s="41">
        <f t="shared" si="5"/>
        <v>0</v>
      </c>
      <c r="I343" s="39"/>
      <c r="J343" s="39"/>
      <c r="K343" s="39"/>
      <c r="L343" s="40" t="str">
        <f>INDEX(Overview!$B$8:$B$33,MATCH('OS&amp;E_FF&amp;E'!$A343,Overview!$A$8:$A$33,0))</f>
        <v>FF&amp;E rooms</v>
      </c>
    </row>
    <row r="344" spans="1:18">
      <c r="A344" s="39" t="s">
        <v>73</v>
      </c>
      <c r="B344" s="84">
        <f>IF(INDEX(Overview!$C$8:$C$33,MATCH('OS&amp;E_FF&amp;E'!A344,Overview!$A$8:$A$33,0))=0,0,1)</f>
        <v>0</v>
      </c>
      <c r="C344" s="13" t="s">
        <v>528</v>
      </c>
      <c r="D344" s="13"/>
      <c r="E344" s="13">
        <v>0</v>
      </c>
      <c r="F344" s="39"/>
      <c r="G344" s="30">
        <v>221</v>
      </c>
      <c r="H344" s="41">
        <f t="shared" si="5"/>
        <v>0</v>
      </c>
      <c r="I344" s="39"/>
      <c r="J344" s="39"/>
      <c r="K344" s="39"/>
      <c r="L344" s="40" t="str">
        <f>INDEX(Overview!$B$8:$B$33,MATCH('OS&amp;E_FF&amp;E'!$A344,Overview!$A$8:$A$33,0))</f>
        <v>FF&amp;E rooms</v>
      </c>
    </row>
    <row r="345" spans="1:18">
      <c r="A345" s="39" t="s">
        <v>76</v>
      </c>
      <c r="B345" s="84">
        <f>IF(INDEX(Overview!$C$8:$C$33,MATCH('OS&amp;E_FF&amp;E'!A345,Overview!$A$8:$A$33,0))=0,0,1)</f>
        <v>0</v>
      </c>
      <c r="C345" s="13" t="s">
        <v>529</v>
      </c>
      <c r="D345" s="13" t="s">
        <v>530</v>
      </c>
      <c r="E345" s="39">
        <v>2</v>
      </c>
      <c r="F345" s="39"/>
      <c r="G345" s="30">
        <v>20</v>
      </c>
      <c r="H345" s="30">
        <f t="shared" si="5"/>
        <v>40</v>
      </c>
      <c r="I345" s="39"/>
      <c r="J345" s="39"/>
      <c r="K345" s="39"/>
      <c r="L345" s="40" t="str">
        <f>INDEX(Overview!$B$8:$B$33,MATCH('OS&amp;E_FF&amp;E'!$A345,Overview!$A$8:$A$33,0))</f>
        <v>internal signage</v>
      </c>
    </row>
    <row r="346" spans="1:18">
      <c r="A346" s="39" t="s">
        <v>76</v>
      </c>
      <c r="B346" s="84">
        <f>IF(INDEX(Overview!$C$8:$C$33,MATCH('OS&amp;E_FF&amp;E'!A346,Overview!$A$8:$A$33,0))=0,0,1)</f>
        <v>0</v>
      </c>
      <c r="C346" s="13" t="s">
        <v>531</v>
      </c>
      <c r="D346" s="13" t="s">
        <v>532</v>
      </c>
      <c r="E346" s="13">
        <v>80</v>
      </c>
      <c r="F346" s="13" t="s">
        <v>533</v>
      </c>
      <c r="G346" s="41">
        <v>55</v>
      </c>
      <c r="H346" s="30">
        <f t="shared" si="5"/>
        <v>4400</v>
      </c>
      <c r="I346" s="13"/>
      <c r="J346" s="13"/>
      <c r="K346" s="13"/>
      <c r="L346" s="40" t="str">
        <f>INDEX(Overview!$B$8:$B$33,MATCH('OS&amp;E_FF&amp;E'!$A346,Overview!$A$8:$A$33,0))</f>
        <v>internal signage</v>
      </c>
      <c r="M346"/>
      <c r="N346"/>
      <c r="O346"/>
      <c r="P346"/>
      <c r="Q346"/>
      <c r="R346"/>
    </row>
    <row r="347" spans="1:18">
      <c r="A347" s="39" t="s">
        <v>76</v>
      </c>
      <c r="B347" s="84">
        <f>IF(INDEX(Overview!$C$8:$C$33,MATCH('OS&amp;E_FF&amp;E'!A347,Overview!$A$8:$A$33,0))=0,0,1)</f>
        <v>0</v>
      </c>
      <c r="C347" s="13" t="s">
        <v>534</v>
      </c>
      <c r="D347" s="13" t="s">
        <v>530</v>
      </c>
      <c r="E347" s="39">
        <v>1</v>
      </c>
      <c r="F347" s="39"/>
      <c r="G347" s="30">
        <v>30</v>
      </c>
      <c r="H347" s="30">
        <f t="shared" si="5"/>
        <v>30</v>
      </c>
      <c r="I347" s="39"/>
      <c r="J347" s="46"/>
      <c r="K347" s="46"/>
      <c r="L347" s="40" t="str">
        <f>INDEX(Overview!$B$8:$B$33,MATCH('OS&amp;E_FF&amp;E'!$A347,Overview!$A$8:$A$33,0))</f>
        <v>internal signage</v>
      </c>
      <c r="M347"/>
      <c r="N347"/>
      <c r="O347"/>
      <c r="P347"/>
      <c r="Q347"/>
      <c r="R347"/>
    </row>
    <row r="348" spans="1:18">
      <c r="A348" s="39" t="s">
        <v>76</v>
      </c>
      <c r="B348" s="84">
        <f>IF(INDEX(Overview!$C$8:$C$33,MATCH('OS&amp;E_FF&amp;E'!A348,Overview!$A$8:$A$33,0))=0,0,1)</f>
        <v>0</v>
      </c>
      <c r="C348" s="13" t="s">
        <v>535</v>
      </c>
      <c r="D348" s="13" t="s">
        <v>530</v>
      </c>
      <c r="E348" s="13">
        <v>1</v>
      </c>
      <c r="F348" s="13" t="s">
        <v>533</v>
      </c>
      <c r="G348" s="41">
        <v>20000</v>
      </c>
      <c r="H348" s="30">
        <f t="shared" si="5"/>
        <v>20000</v>
      </c>
      <c r="I348" s="13" t="s">
        <v>536</v>
      </c>
      <c r="J348" s="13"/>
      <c r="K348" s="13"/>
      <c r="L348" s="40" t="str">
        <f>INDEX(Overview!$B$8:$B$33,MATCH('OS&amp;E_FF&amp;E'!$A348,Overview!$A$8:$A$33,0))</f>
        <v>internal signage</v>
      </c>
      <c r="M348"/>
      <c r="N348"/>
      <c r="O348"/>
      <c r="P348"/>
      <c r="Q348"/>
      <c r="R348"/>
    </row>
    <row r="349" spans="1:18">
      <c r="A349" s="39" t="s">
        <v>76</v>
      </c>
      <c r="B349" s="84">
        <f>IF(INDEX(Overview!$C$8:$C$33,MATCH('OS&amp;E_FF&amp;E'!A349,Overview!$A$8:$A$33,0))=0,0,1)</f>
        <v>0</v>
      </c>
      <c r="C349" s="13" t="s">
        <v>537</v>
      </c>
      <c r="D349" s="13" t="s">
        <v>530</v>
      </c>
      <c r="E349" s="39">
        <v>1</v>
      </c>
      <c r="F349" s="39"/>
      <c r="G349" s="30">
        <v>30</v>
      </c>
      <c r="H349" s="30">
        <f t="shared" si="5"/>
        <v>30</v>
      </c>
      <c r="I349" s="39"/>
      <c r="J349" s="39"/>
      <c r="K349" s="39"/>
      <c r="L349" s="40" t="str">
        <f>INDEX(Overview!$B$8:$B$33,MATCH('OS&amp;E_FF&amp;E'!$A349,Overview!$A$8:$A$33,0))</f>
        <v>internal signage</v>
      </c>
    </row>
    <row r="350" spans="1:18">
      <c r="A350" s="39" t="s">
        <v>76</v>
      </c>
      <c r="B350" s="84">
        <f>IF(INDEX(Overview!$C$8:$C$33,MATCH('OS&amp;E_FF&amp;E'!A350,Overview!$A$8:$A$33,0))=0,0,1)</f>
        <v>0</v>
      </c>
      <c r="C350" s="13" t="s">
        <v>538</v>
      </c>
      <c r="D350" s="13"/>
      <c r="E350" s="13">
        <v>80</v>
      </c>
      <c r="F350" s="39"/>
      <c r="G350" s="30">
        <v>35</v>
      </c>
      <c r="H350" s="41">
        <f t="shared" si="5"/>
        <v>2800</v>
      </c>
      <c r="I350" s="39"/>
      <c r="J350" s="39"/>
      <c r="K350" s="39"/>
      <c r="L350" s="40" t="str">
        <f>INDEX(Overview!$B$8:$B$33,MATCH('OS&amp;E_FF&amp;E'!$A350,Overview!$A$8:$A$33,0))</f>
        <v>internal signage</v>
      </c>
    </row>
    <row r="351" spans="1:18">
      <c r="A351" s="39" t="s">
        <v>76</v>
      </c>
      <c r="B351" s="84">
        <f>IF(INDEX(Overview!$C$8:$C$33,MATCH('OS&amp;E_FF&amp;E'!A351,Overview!$A$8:$A$33,0))=0,0,1)</f>
        <v>0</v>
      </c>
      <c r="C351" s="13" t="s">
        <v>539</v>
      </c>
      <c r="D351" s="13"/>
      <c r="E351" s="13">
        <v>80</v>
      </c>
      <c r="F351" s="39"/>
      <c r="G351" s="30">
        <v>42</v>
      </c>
      <c r="H351" s="41">
        <f t="shared" si="5"/>
        <v>3360</v>
      </c>
      <c r="I351" s="39"/>
      <c r="J351" s="39"/>
      <c r="K351" s="39"/>
      <c r="L351" s="40" t="str">
        <f>INDEX(Overview!$B$8:$B$33,MATCH('OS&amp;E_FF&amp;E'!$A351,Overview!$A$8:$A$33,0))</f>
        <v>internal signage</v>
      </c>
    </row>
    <row r="352" spans="1:18">
      <c r="A352" s="39" t="s">
        <v>25</v>
      </c>
      <c r="B352" s="84">
        <f>IF(INDEX(Overview!$C$8:$C$33,MATCH('OS&amp;E_FF&amp;E'!A352,Overview!$A$8:$A$33,0))=0,0,1)</f>
        <v>1</v>
      </c>
      <c r="C352" s="13" t="s">
        <v>540</v>
      </c>
      <c r="D352" s="39" t="s">
        <v>541</v>
      </c>
      <c r="E352" s="39">
        <v>1</v>
      </c>
      <c r="F352" s="39" t="s">
        <v>542</v>
      </c>
      <c r="G352" s="30">
        <v>25</v>
      </c>
      <c r="H352" s="30">
        <f t="shared" si="5"/>
        <v>25</v>
      </c>
      <c r="I352" s="39" t="s">
        <v>543</v>
      </c>
      <c r="J352" s="39"/>
      <c r="K352" s="39"/>
      <c r="L352" s="40" t="str">
        <f>INDEX(Overview!$B$8:$B$33,MATCH('OS&amp;E_FF&amp;E'!$A352,Overview!$A$8:$A$33,0))</f>
        <v>Branded Stationary</v>
      </c>
    </row>
    <row r="353" spans="1:18">
      <c r="A353" s="39" t="s">
        <v>25</v>
      </c>
      <c r="B353" s="84">
        <f>IF(INDEX(Overview!$C$8:$C$33,MATCH('OS&amp;E_FF&amp;E'!A353,Overview!$A$8:$A$33,0))=0,0,1)</f>
        <v>1</v>
      </c>
      <c r="C353" s="13" t="s">
        <v>544</v>
      </c>
      <c r="D353" s="13" t="s">
        <v>541</v>
      </c>
      <c r="E353" s="13">
        <v>200</v>
      </c>
      <c r="F353" s="13" t="s">
        <v>545</v>
      </c>
      <c r="G353" s="41">
        <v>0.5</v>
      </c>
      <c r="H353" s="30">
        <f t="shared" si="5"/>
        <v>100</v>
      </c>
      <c r="I353" s="13" t="s">
        <v>546</v>
      </c>
      <c r="J353" s="39"/>
      <c r="K353" s="39"/>
      <c r="L353" s="40" t="str">
        <f>INDEX(Overview!$B$8:$B$33,MATCH('OS&amp;E_FF&amp;E'!$A353,Overview!$A$8:$A$33,0))</f>
        <v>Branded Stationary</v>
      </c>
    </row>
    <row r="354" spans="1:18">
      <c r="A354" s="39" t="s">
        <v>25</v>
      </c>
      <c r="B354" s="84">
        <f>IF(INDEX(Overview!$C$8:$C$33,MATCH('OS&amp;E_FF&amp;E'!A354,Overview!$A$8:$A$33,0))=0,0,1)</f>
        <v>1</v>
      </c>
      <c r="C354" s="13" t="s">
        <v>547</v>
      </c>
      <c r="D354" s="39" t="s">
        <v>541</v>
      </c>
      <c r="E354" s="39">
        <v>5</v>
      </c>
      <c r="F354" s="39" t="s">
        <v>533</v>
      </c>
      <c r="G354" s="30">
        <v>2</v>
      </c>
      <c r="H354" s="30">
        <f t="shared" ref="H354:H385" si="6">E354*G354</f>
        <v>10</v>
      </c>
      <c r="I354" s="39"/>
      <c r="J354" s="39"/>
      <c r="K354" s="39"/>
      <c r="L354" s="40" t="str">
        <f>INDEX(Overview!$B$8:$B$33,MATCH('OS&amp;E_FF&amp;E'!$A354,Overview!$A$8:$A$33,0))</f>
        <v>Branded Stationary</v>
      </c>
    </row>
    <row r="355" spans="1:18">
      <c r="A355" s="39" t="s">
        <v>25</v>
      </c>
      <c r="B355" s="84">
        <f>IF(INDEX(Overview!$C$8:$C$33,MATCH('OS&amp;E_FF&amp;E'!A355,Overview!$A$8:$A$33,0))=0,0,1)</f>
        <v>1</v>
      </c>
      <c r="C355" s="13" t="s">
        <v>548</v>
      </c>
      <c r="D355" s="13" t="s">
        <v>541</v>
      </c>
      <c r="E355" s="13">
        <v>2000</v>
      </c>
      <c r="F355" s="13" t="s">
        <v>463</v>
      </c>
      <c r="G355" s="41">
        <v>0.1</v>
      </c>
      <c r="H355" s="30">
        <f t="shared" si="6"/>
        <v>200</v>
      </c>
      <c r="I355" s="13" t="s">
        <v>546</v>
      </c>
      <c r="J355" s="39"/>
      <c r="K355" s="39"/>
      <c r="L355" s="40" t="str">
        <f>INDEX(Overview!$B$8:$B$33,MATCH('OS&amp;E_FF&amp;E'!$A355,Overview!$A$8:$A$33,0))</f>
        <v>Branded Stationary</v>
      </c>
    </row>
    <row r="356" spans="1:18">
      <c r="A356" s="39" t="s">
        <v>25</v>
      </c>
      <c r="B356" s="84">
        <f>IF(INDEX(Overview!$C$8:$C$33,MATCH('OS&amp;E_FF&amp;E'!A356,Overview!$A$8:$A$33,0))=0,0,1)</f>
        <v>1</v>
      </c>
      <c r="C356" s="13" t="s">
        <v>549</v>
      </c>
      <c r="D356" s="13" t="s">
        <v>550</v>
      </c>
      <c r="E356" s="39">
        <v>80</v>
      </c>
      <c r="F356" s="39"/>
      <c r="G356" s="30">
        <v>10</v>
      </c>
      <c r="H356" s="30">
        <f t="shared" si="6"/>
        <v>800</v>
      </c>
      <c r="I356" s="39"/>
      <c r="J356" s="39"/>
      <c r="K356" s="39"/>
      <c r="L356" s="40" t="str">
        <f>INDEX(Overview!$B$8:$B$33,MATCH('OS&amp;E_FF&amp;E'!$A356,Overview!$A$8:$A$33,0))</f>
        <v>Branded Stationary</v>
      </c>
    </row>
    <row r="357" spans="1:18">
      <c r="A357" s="39" t="s">
        <v>25</v>
      </c>
      <c r="B357" s="84">
        <f>IF(INDEX(Overview!$C$8:$C$33,MATCH('OS&amp;E_FF&amp;E'!A357,Overview!$A$8:$A$33,0))=0,0,1)</f>
        <v>1</v>
      </c>
      <c r="C357" s="13" t="s">
        <v>551</v>
      </c>
      <c r="D357" s="39" t="s">
        <v>541</v>
      </c>
      <c r="E357" s="39">
        <v>300</v>
      </c>
      <c r="F357" s="39" t="s">
        <v>533</v>
      </c>
      <c r="G357" s="30">
        <v>11.5</v>
      </c>
      <c r="H357" s="30">
        <f t="shared" si="6"/>
        <v>3450</v>
      </c>
      <c r="I357" s="39"/>
      <c r="J357" s="39"/>
      <c r="K357" s="39"/>
      <c r="L357" s="40" t="str">
        <f>INDEX(Overview!$B$8:$B$33,MATCH('OS&amp;E_FF&amp;E'!$A357,Overview!$A$8:$A$33,0))</f>
        <v>Branded Stationary</v>
      </c>
    </row>
    <row r="358" spans="1:18">
      <c r="A358" s="39" t="s">
        <v>25</v>
      </c>
      <c r="B358" s="84">
        <f>IF(INDEX(Overview!$C$8:$C$33,MATCH('OS&amp;E_FF&amp;E'!A358,Overview!$A$8:$A$33,0))=0,0,1)</f>
        <v>1</v>
      </c>
      <c r="C358" s="13" t="s">
        <v>552</v>
      </c>
      <c r="D358" s="39" t="s">
        <v>541</v>
      </c>
      <c r="E358" s="39">
        <v>1</v>
      </c>
      <c r="F358" s="39" t="s">
        <v>542</v>
      </c>
      <c r="G358" s="30">
        <v>20</v>
      </c>
      <c r="H358" s="30">
        <f t="shared" si="6"/>
        <v>20</v>
      </c>
      <c r="I358" s="39" t="s">
        <v>553</v>
      </c>
      <c r="J358" s="39"/>
      <c r="K358" s="39"/>
      <c r="L358" s="40" t="str">
        <f>INDEX(Overview!$B$8:$B$33,MATCH('OS&amp;E_FF&amp;E'!$A358,Overview!$A$8:$A$33,0))</f>
        <v>Branded Stationary</v>
      </c>
    </row>
    <row r="359" spans="1:18">
      <c r="A359" s="39" t="s">
        <v>25</v>
      </c>
      <c r="B359" s="84">
        <f>IF(INDEX(Overview!$C$8:$C$33,MATCH('OS&amp;E_FF&amp;E'!A359,Overview!$A$8:$A$33,0))=0,0,1)</f>
        <v>1</v>
      </c>
      <c r="C359" s="13" t="s">
        <v>554</v>
      </c>
      <c r="D359" s="13" t="s">
        <v>541</v>
      </c>
      <c r="E359" s="39"/>
      <c r="F359" s="39"/>
      <c r="G359" s="30"/>
      <c r="H359" s="30">
        <f t="shared" si="6"/>
        <v>0</v>
      </c>
      <c r="I359" s="39"/>
      <c r="J359" s="46"/>
      <c r="K359" s="46"/>
      <c r="L359" s="40" t="str">
        <f>INDEX(Overview!$B$8:$B$33,MATCH('OS&amp;E_FF&amp;E'!$A359,Overview!$A$8:$A$33,0))</f>
        <v>Branded Stationary</v>
      </c>
      <c r="M359"/>
      <c r="N359"/>
      <c r="O359"/>
      <c r="P359"/>
      <c r="Q359"/>
      <c r="R359"/>
    </row>
    <row r="360" spans="1:18">
      <c r="A360" s="39" t="s">
        <v>25</v>
      </c>
      <c r="B360" s="84">
        <f>IF(INDEX(Overview!$C$8:$C$33,MATCH('OS&amp;E_FF&amp;E'!A360,Overview!$A$8:$A$33,0))=0,0,1)</f>
        <v>1</v>
      </c>
      <c r="C360" s="13" t="s">
        <v>555</v>
      </c>
      <c r="D360" s="13" t="s">
        <v>541</v>
      </c>
      <c r="E360" s="13">
        <v>1</v>
      </c>
      <c r="F360" s="13" t="s">
        <v>452</v>
      </c>
      <c r="G360" s="41">
        <v>193</v>
      </c>
      <c r="H360" s="30">
        <f t="shared" si="6"/>
        <v>193</v>
      </c>
      <c r="I360" s="13" t="s">
        <v>556</v>
      </c>
      <c r="J360" s="39"/>
      <c r="K360" s="39"/>
      <c r="L360" s="40" t="str">
        <f>INDEX(Overview!$B$8:$B$33,MATCH('OS&amp;E_FF&amp;E'!$A360,Overview!$A$8:$A$33,0))</f>
        <v>Branded Stationary</v>
      </c>
    </row>
    <row r="361" spans="1:18">
      <c r="A361" s="39" t="s">
        <v>25</v>
      </c>
      <c r="B361" s="84">
        <f>IF(INDEX(Overview!$C$8:$C$33,MATCH('OS&amp;E_FF&amp;E'!A361,Overview!$A$8:$A$33,0))=0,0,1)</f>
        <v>1</v>
      </c>
      <c r="C361" s="13" t="s">
        <v>557</v>
      </c>
      <c r="D361" s="13" t="s">
        <v>541</v>
      </c>
      <c r="E361" s="39">
        <v>750</v>
      </c>
      <c r="F361" s="39"/>
      <c r="G361" s="30">
        <v>0.45</v>
      </c>
      <c r="H361" s="30">
        <f t="shared" si="6"/>
        <v>337.5</v>
      </c>
      <c r="I361" s="39"/>
      <c r="J361" s="46"/>
      <c r="K361" s="46"/>
      <c r="L361" s="40" t="str">
        <f>INDEX(Overview!$B$8:$B$33,MATCH('OS&amp;E_FF&amp;E'!$A361,Overview!$A$8:$A$33,0))</f>
        <v>Branded Stationary</v>
      </c>
      <c r="M361"/>
      <c r="N361"/>
      <c r="O361"/>
      <c r="P361"/>
      <c r="Q361"/>
      <c r="R361"/>
    </row>
    <row r="362" spans="1:18">
      <c r="A362" s="39" t="s">
        <v>25</v>
      </c>
      <c r="B362" s="84">
        <f>IF(INDEX(Overview!$C$8:$C$33,MATCH('OS&amp;E_FF&amp;E'!A362,Overview!$A$8:$A$33,0))=0,0,1)</f>
        <v>1</v>
      </c>
      <c r="C362" s="13" t="s">
        <v>558</v>
      </c>
      <c r="D362" s="13" t="s">
        <v>541</v>
      </c>
      <c r="E362" s="13">
        <v>59</v>
      </c>
      <c r="F362" s="13" t="s">
        <v>559</v>
      </c>
      <c r="G362" s="41">
        <v>4.75</v>
      </c>
      <c r="H362" s="30">
        <f t="shared" si="6"/>
        <v>280.25</v>
      </c>
      <c r="I362" s="13"/>
      <c r="J362" s="13"/>
      <c r="K362" s="13"/>
      <c r="L362" s="40" t="str">
        <f>INDEX(Overview!$B$8:$B$33,MATCH('OS&amp;E_FF&amp;E'!$A362,Overview!$A$8:$A$33,0))</f>
        <v>Branded Stationary</v>
      </c>
      <c r="M362"/>
      <c r="N362"/>
      <c r="O362"/>
      <c r="P362"/>
      <c r="Q362"/>
      <c r="R362"/>
    </row>
    <row r="363" spans="1:18">
      <c r="A363" s="39" t="s">
        <v>25</v>
      </c>
      <c r="B363" s="84">
        <f>IF(INDEX(Overview!$C$8:$C$33,MATCH('OS&amp;E_FF&amp;E'!A363,Overview!$A$8:$A$33,0))=0,0,1)</f>
        <v>1</v>
      </c>
      <c r="C363" s="13" t="s">
        <v>560</v>
      </c>
      <c r="D363" s="13" t="s">
        <v>541</v>
      </c>
      <c r="E363" s="39">
        <v>10</v>
      </c>
      <c r="F363" s="39"/>
      <c r="G363" s="30">
        <v>4</v>
      </c>
      <c r="H363" s="30">
        <f t="shared" si="6"/>
        <v>40</v>
      </c>
      <c r="I363" s="39"/>
      <c r="J363" s="39"/>
      <c r="K363" s="39"/>
      <c r="L363" s="40" t="str">
        <f>INDEX(Overview!$B$8:$B$33,MATCH('OS&amp;E_FF&amp;E'!$A363,Overview!$A$8:$A$33,0))</f>
        <v>Branded Stationary</v>
      </c>
    </row>
    <row r="364" spans="1:18">
      <c r="A364" s="39" t="s">
        <v>25</v>
      </c>
      <c r="B364" s="84">
        <f>IF(INDEX(Overview!$C$8:$C$33,MATCH('OS&amp;E_FF&amp;E'!A364,Overview!$A$8:$A$33,0))=0,0,1)</f>
        <v>1</v>
      </c>
      <c r="C364" s="13" t="s">
        <v>561</v>
      </c>
      <c r="D364" s="13" t="s">
        <v>541</v>
      </c>
      <c r="E364" s="58">
        <v>250</v>
      </c>
      <c r="F364" s="39"/>
      <c r="G364" s="14">
        <v>2.89</v>
      </c>
      <c r="H364" s="41">
        <f t="shared" si="6"/>
        <v>722.5</v>
      </c>
      <c r="I364" s="39"/>
      <c r="J364" s="39"/>
      <c r="K364" s="39"/>
      <c r="L364" s="40" t="str">
        <f>INDEX(Overview!$B$8:$B$33,MATCH('OS&amp;E_FF&amp;E'!$A364,Overview!$A$8:$A$33,0))</f>
        <v>Branded Stationary</v>
      </c>
    </row>
    <row r="365" spans="1:18">
      <c r="A365" s="39" t="s">
        <v>25</v>
      </c>
      <c r="B365" s="84">
        <f>IF(INDEX(Overview!$C$8:$C$33,MATCH('OS&amp;E_FF&amp;E'!A365,Overview!$A$8:$A$33,0))=0,0,1)</f>
        <v>1</v>
      </c>
      <c r="C365" s="13" t="s">
        <v>562</v>
      </c>
      <c r="D365" s="13" t="s">
        <v>541</v>
      </c>
      <c r="E365" s="58">
        <v>100</v>
      </c>
      <c r="F365" s="39"/>
      <c r="G365" s="14">
        <v>2</v>
      </c>
      <c r="H365" s="41">
        <f t="shared" si="6"/>
        <v>200</v>
      </c>
      <c r="I365" s="39"/>
      <c r="J365" s="39"/>
      <c r="K365" s="39"/>
      <c r="L365" s="40" t="str">
        <f>INDEX(Overview!$B$8:$B$33,MATCH('OS&amp;E_FF&amp;E'!$A365,Overview!$A$8:$A$33,0))</f>
        <v>Branded Stationary</v>
      </c>
    </row>
    <row r="366" spans="1:18">
      <c r="A366" s="39" t="s">
        <v>25</v>
      </c>
      <c r="B366" s="84">
        <f>IF(INDEX(Overview!$C$8:$C$33,MATCH('OS&amp;E_FF&amp;E'!A366,Overview!$A$8:$A$33,0))=0,0,1)</f>
        <v>1</v>
      </c>
      <c r="C366" s="13" t="s">
        <v>563</v>
      </c>
      <c r="D366" s="13" t="s">
        <v>541</v>
      </c>
      <c r="E366" s="58">
        <v>1000</v>
      </c>
      <c r="F366" s="39"/>
      <c r="G366" s="14">
        <v>0.48</v>
      </c>
      <c r="H366" s="41">
        <f t="shared" si="6"/>
        <v>480</v>
      </c>
      <c r="I366" s="39"/>
      <c r="J366" s="39"/>
      <c r="K366" s="39"/>
      <c r="L366" s="40" t="str">
        <f>INDEX(Overview!$B$8:$B$33,MATCH('OS&amp;E_FF&amp;E'!$A366,Overview!$A$8:$A$33,0))</f>
        <v>Branded Stationary</v>
      </c>
    </row>
    <row r="367" spans="1:18">
      <c r="A367" s="39" t="s">
        <v>25</v>
      </c>
      <c r="B367" s="84">
        <f>IF(INDEX(Overview!$C$8:$C$33,MATCH('OS&amp;E_FF&amp;E'!A367,Overview!$A$8:$A$33,0))=0,0,1)</f>
        <v>1</v>
      </c>
      <c r="C367" s="13" t="s">
        <v>564</v>
      </c>
      <c r="D367" s="13" t="s">
        <v>541</v>
      </c>
      <c r="E367" s="57">
        <v>750</v>
      </c>
      <c r="F367" s="39"/>
      <c r="G367" s="14">
        <v>0.75</v>
      </c>
      <c r="H367" s="41">
        <f t="shared" si="6"/>
        <v>562.5</v>
      </c>
      <c r="I367" s="39"/>
      <c r="J367" s="39"/>
      <c r="K367" s="39"/>
      <c r="L367" s="40" t="str">
        <f>INDEX(Overview!$B$8:$B$33,MATCH('OS&amp;E_FF&amp;E'!$A367,Overview!$A$8:$A$33,0))</f>
        <v>Branded Stationary</v>
      </c>
    </row>
    <row r="368" spans="1:18">
      <c r="A368" s="39" t="s">
        <v>25</v>
      </c>
      <c r="B368" s="84">
        <f>IF(INDEX(Overview!$C$8:$C$33,MATCH('OS&amp;E_FF&amp;E'!A368,Overview!$A$8:$A$33,0))=0,0,1)</f>
        <v>1</v>
      </c>
      <c r="C368" s="13" t="s">
        <v>565</v>
      </c>
      <c r="D368" s="13" t="s">
        <v>541</v>
      </c>
      <c r="E368" s="57">
        <v>1500</v>
      </c>
      <c r="F368" s="39"/>
      <c r="G368" s="71">
        <v>0.65</v>
      </c>
      <c r="H368" s="41">
        <f t="shared" si="6"/>
        <v>975</v>
      </c>
      <c r="I368" s="39"/>
      <c r="J368" s="39"/>
      <c r="K368" s="39"/>
      <c r="L368" s="40" t="str">
        <f>INDEX(Overview!$B$8:$B$33,MATCH('OS&amp;E_FF&amp;E'!$A368,Overview!$A$8:$A$33,0))</f>
        <v>Branded Stationary</v>
      </c>
    </row>
    <row r="369" spans="1:12">
      <c r="A369" s="39" t="s">
        <v>25</v>
      </c>
      <c r="B369" s="84">
        <f>IF(INDEX(Overview!$C$8:$C$33,MATCH('OS&amp;E_FF&amp;E'!A369,Overview!$A$8:$A$33,0))=0,0,1)</f>
        <v>1</v>
      </c>
      <c r="C369" s="13" t="s">
        <v>566</v>
      </c>
      <c r="D369" s="13" t="s">
        <v>541</v>
      </c>
      <c r="E369" s="58">
        <v>0</v>
      </c>
      <c r="F369" s="39"/>
      <c r="G369" s="14">
        <v>18</v>
      </c>
      <c r="H369" s="41">
        <f t="shared" si="6"/>
        <v>0</v>
      </c>
      <c r="I369" s="39" t="s">
        <v>567</v>
      </c>
      <c r="J369" s="39"/>
      <c r="K369" s="39"/>
      <c r="L369" s="40" t="str">
        <f>INDEX(Overview!$B$8:$B$33,MATCH('OS&amp;E_FF&amp;E'!$A369,Overview!$A$8:$A$33,0))</f>
        <v>Branded Stationary</v>
      </c>
    </row>
    <row r="370" spans="1:12">
      <c r="A370" s="39" t="s">
        <v>25</v>
      </c>
      <c r="B370" s="84">
        <f>IF(INDEX(Overview!$C$8:$C$33,MATCH('OS&amp;E_FF&amp;E'!A370,Overview!$A$8:$A$33,0))=0,0,1)</f>
        <v>1</v>
      </c>
      <c r="C370" s="13" t="s">
        <v>568</v>
      </c>
      <c r="D370" s="13" t="s">
        <v>541</v>
      </c>
      <c r="E370" s="58">
        <v>0</v>
      </c>
      <c r="F370" s="39"/>
      <c r="G370" s="14">
        <v>30</v>
      </c>
      <c r="H370" s="41">
        <f t="shared" si="6"/>
        <v>0</v>
      </c>
      <c r="I370" s="39" t="s">
        <v>567</v>
      </c>
      <c r="J370" s="39"/>
      <c r="K370" s="39"/>
      <c r="L370" s="40" t="str">
        <f>INDEX(Overview!$B$8:$B$33,MATCH('OS&amp;E_FF&amp;E'!$A370,Overview!$A$8:$A$33,0))</f>
        <v>Branded Stationary</v>
      </c>
    </row>
    <row r="371" spans="1:12">
      <c r="A371" s="39" t="s">
        <v>25</v>
      </c>
      <c r="B371" s="84">
        <f>IF(INDEX(Overview!$C$8:$C$33,MATCH('OS&amp;E_FF&amp;E'!A371,Overview!$A$8:$A$33,0))=0,0,1)</f>
        <v>1</v>
      </c>
      <c r="C371" s="13" t="s">
        <v>569</v>
      </c>
      <c r="D371" s="13" t="s">
        <v>541</v>
      </c>
      <c r="E371" s="58">
        <v>1000</v>
      </c>
      <c r="F371" s="39"/>
      <c r="G371" s="14">
        <v>0.79</v>
      </c>
      <c r="H371" s="41">
        <f t="shared" si="6"/>
        <v>790</v>
      </c>
      <c r="I371" s="39"/>
      <c r="J371" s="39"/>
      <c r="K371" s="39"/>
      <c r="L371" s="40" t="str">
        <f>INDEX(Overview!$B$8:$B$33,MATCH('OS&amp;E_FF&amp;E'!$A371,Overview!$A$8:$A$33,0))</f>
        <v>Branded Stationary</v>
      </c>
    </row>
    <row r="372" spans="1:12">
      <c r="A372" s="39" t="s">
        <v>25</v>
      </c>
      <c r="B372" s="84">
        <f>IF(INDEX(Overview!$C$8:$C$33,MATCH('OS&amp;E_FF&amp;E'!A372,Overview!$A$8:$A$33,0))=0,0,1)</f>
        <v>1</v>
      </c>
      <c r="C372" s="13" t="s">
        <v>570</v>
      </c>
      <c r="D372" s="13" t="s">
        <v>541</v>
      </c>
      <c r="E372" s="58">
        <v>2</v>
      </c>
      <c r="F372" s="39"/>
      <c r="G372" s="14">
        <v>100</v>
      </c>
      <c r="H372" s="41">
        <f t="shared" si="6"/>
        <v>200</v>
      </c>
      <c r="I372" s="39"/>
      <c r="J372" s="39"/>
      <c r="K372" s="39"/>
      <c r="L372" s="40" t="str">
        <f>INDEX(Overview!$B$8:$B$33,MATCH('OS&amp;E_FF&amp;E'!$A372,Overview!$A$8:$A$33,0))</f>
        <v>Branded Stationary</v>
      </c>
    </row>
    <row r="373" spans="1:12">
      <c r="A373" s="39" t="s">
        <v>25</v>
      </c>
      <c r="B373" s="84">
        <f>IF(INDEX(Overview!$C$8:$C$33,MATCH('OS&amp;E_FF&amp;E'!A373,Overview!$A$8:$A$33,0))=0,0,1)</f>
        <v>1</v>
      </c>
      <c r="C373" s="13" t="s">
        <v>571</v>
      </c>
      <c r="D373" s="13" t="s">
        <v>541</v>
      </c>
      <c r="E373" s="58">
        <v>2</v>
      </c>
      <c r="F373" s="39"/>
      <c r="G373" s="14">
        <v>50</v>
      </c>
      <c r="H373" s="41">
        <f t="shared" si="6"/>
        <v>100</v>
      </c>
      <c r="I373" s="39"/>
      <c r="J373" s="39"/>
      <c r="K373" s="39"/>
      <c r="L373" s="40" t="str">
        <f>INDEX(Overview!$B$8:$B$33,MATCH('OS&amp;E_FF&amp;E'!$A373,Overview!$A$8:$A$33,0))</f>
        <v>Branded Stationary</v>
      </c>
    </row>
    <row r="374" spans="1:12">
      <c r="A374" s="39" t="s">
        <v>25</v>
      </c>
      <c r="B374" s="84">
        <f>IF(INDEX(Overview!$C$8:$C$33,MATCH('OS&amp;E_FF&amp;E'!A374,Overview!$A$8:$A$33,0))=0,0,1)</f>
        <v>1</v>
      </c>
      <c r="C374" s="13" t="s">
        <v>572</v>
      </c>
      <c r="D374" s="13" t="s">
        <v>541</v>
      </c>
      <c r="E374" s="58">
        <v>1500</v>
      </c>
      <c r="F374" s="39"/>
      <c r="G374" s="14">
        <v>0.13</v>
      </c>
      <c r="H374" s="41">
        <f t="shared" si="6"/>
        <v>195</v>
      </c>
      <c r="I374" s="39"/>
      <c r="J374" s="39"/>
      <c r="K374" s="39"/>
      <c r="L374" s="40" t="str">
        <f>INDEX(Overview!$B$8:$B$33,MATCH('OS&amp;E_FF&amp;E'!$A374,Overview!$A$8:$A$33,0))</f>
        <v>Branded Stationary</v>
      </c>
    </row>
    <row r="375" spans="1:12">
      <c r="A375" s="39" t="s">
        <v>25</v>
      </c>
      <c r="B375" s="84">
        <f>IF(INDEX(Overview!$C$8:$C$33,MATCH('OS&amp;E_FF&amp;E'!A375,Overview!$A$8:$A$33,0))=0,0,1)</f>
        <v>1</v>
      </c>
      <c r="C375" s="13" t="s">
        <v>573</v>
      </c>
      <c r="D375" s="13" t="s">
        <v>541</v>
      </c>
      <c r="E375" s="58">
        <v>500</v>
      </c>
      <c r="F375" s="39"/>
      <c r="G375" s="14">
        <v>0.13</v>
      </c>
      <c r="H375" s="41">
        <f t="shared" si="6"/>
        <v>65</v>
      </c>
      <c r="I375" s="39"/>
      <c r="J375" s="39"/>
      <c r="K375" s="39"/>
      <c r="L375" s="40" t="str">
        <f>INDEX(Overview!$B$8:$B$33,MATCH('OS&amp;E_FF&amp;E'!$A375,Overview!$A$8:$A$33,0))</f>
        <v>Branded Stationary</v>
      </c>
    </row>
    <row r="376" spans="1:12">
      <c r="A376" s="39" t="s">
        <v>25</v>
      </c>
      <c r="B376" s="84">
        <f>IF(INDEX(Overview!$C$8:$C$33,MATCH('OS&amp;E_FF&amp;E'!A376,Overview!$A$8:$A$33,0))=0,0,1)</f>
        <v>1</v>
      </c>
      <c r="C376" s="13" t="s">
        <v>574</v>
      </c>
      <c r="D376" s="13" t="s">
        <v>541</v>
      </c>
      <c r="E376" s="58">
        <v>500</v>
      </c>
      <c r="F376" s="39"/>
      <c r="G376" s="14">
        <v>0.13</v>
      </c>
      <c r="H376" s="41">
        <f t="shared" si="6"/>
        <v>65</v>
      </c>
      <c r="I376" s="39"/>
      <c r="J376" s="39"/>
      <c r="K376" s="39"/>
      <c r="L376" s="40" t="str">
        <f>INDEX(Overview!$B$8:$B$33,MATCH('OS&amp;E_FF&amp;E'!$A376,Overview!$A$8:$A$33,0))</f>
        <v>Branded Stationary</v>
      </c>
    </row>
    <row r="377" spans="1:12">
      <c r="A377" s="39" t="s">
        <v>25</v>
      </c>
      <c r="B377" s="84">
        <f>IF(INDEX(Overview!$C$8:$C$33,MATCH('OS&amp;E_FF&amp;E'!A377,Overview!$A$8:$A$33,0))=0,0,1)</f>
        <v>1</v>
      </c>
      <c r="C377" s="13" t="s">
        <v>575</v>
      </c>
      <c r="D377" s="13" t="s">
        <v>541</v>
      </c>
      <c r="E377" s="58">
        <v>500</v>
      </c>
      <c r="F377" s="39"/>
      <c r="G377" s="14">
        <v>0.8</v>
      </c>
      <c r="H377" s="41">
        <f t="shared" si="6"/>
        <v>400</v>
      </c>
      <c r="I377" s="39"/>
      <c r="J377" s="39"/>
      <c r="K377" s="39"/>
      <c r="L377" s="40" t="str">
        <f>INDEX(Overview!$B$8:$B$33,MATCH('OS&amp;E_FF&amp;E'!$A377,Overview!$A$8:$A$33,0))</f>
        <v>Branded Stationary</v>
      </c>
    </row>
    <row r="378" spans="1:12">
      <c r="A378" s="39" t="s">
        <v>25</v>
      </c>
      <c r="B378" s="84">
        <f>IF(INDEX(Overview!$C$8:$C$33,MATCH('OS&amp;E_FF&amp;E'!A378,Overview!$A$8:$A$33,0))=0,0,1)</f>
        <v>1</v>
      </c>
      <c r="C378" s="13" t="s">
        <v>576</v>
      </c>
      <c r="D378" s="13" t="s">
        <v>541</v>
      </c>
      <c r="E378" s="58">
        <v>500</v>
      </c>
      <c r="F378" s="39"/>
      <c r="G378" s="14">
        <v>0.8</v>
      </c>
      <c r="H378" s="41">
        <f t="shared" si="6"/>
        <v>400</v>
      </c>
      <c r="I378" s="39"/>
      <c r="J378" s="39"/>
      <c r="K378" s="39"/>
      <c r="L378" s="40" t="str">
        <f>INDEX(Overview!$B$8:$B$33,MATCH('OS&amp;E_FF&amp;E'!$A378,Overview!$A$8:$A$33,0))</f>
        <v>Branded Stationary</v>
      </c>
    </row>
    <row r="379" spans="1:12">
      <c r="A379" s="39" t="s">
        <v>25</v>
      </c>
      <c r="B379" s="84">
        <f>IF(INDEX(Overview!$C$8:$C$33,MATCH('OS&amp;E_FF&amp;E'!A379,Overview!$A$8:$A$33,0))=0,0,1)</f>
        <v>1</v>
      </c>
      <c r="C379" s="13" t="s">
        <v>577</v>
      </c>
      <c r="D379" s="13" t="s">
        <v>541</v>
      </c>
      <c r="E379" s="58">
        <v>5000</v>
      </c>
      <c r="F379" s="39"/>
      <c r="G379" s="14">
        <v>0.17</v>
      </c>
      <c r="H379" s="41">
        <f t="shared" si="6"/>
        <v>850.00000000000011</v>
      </c>
      <c r="I379" s="39"/>
      <c r="J379" s="39"/>
      <c r="K379" s="39"/>
      <c r="L379" s="40" t="str">
        <f>INDEX(Overview!$B$8:$B$33,MATCH('OS&amp;E_FF&amp;E'!$A379,Overview!$A$8:$A$33,0))</f>
        <v>Branded Stationary</v>
      </c>
    </row>
    <row r="380" spans="1:12">
      <c r="A380" s="39" t="s">
        <v>25</v>
      </c>
      <c r="B380" s="84">
        <f>IF(INDEX(Overview!$C$8:$C$33,MATCH('OS&amp;E_FF&amp;E'!A380,Overview!$A$8:$A$33,0))=0,0,1)</f>
        <v>1</v>
      </c>
      <c r="C380" s="13" t="s">
        <v>578</v>
      </c>
      <c r="D380" s="13" t="s">
        <v>541</v>
      </c>
      <c r="E380" s="58">
        <v>500</v>
      </c>
      <c r="F380" s="39"/>
      <c r="G380" s="14">
        <v>0.13</v>
      </c>
      <c r="H380" s="41">
        <f t="shared" si="6"/>
        <v>65</v>
      </c>
      <c r="I380" s="39"/>
      <c r="J380" s="39"/>
      <c r="K380" s="39"/>
      <c r="L380" s="40" t="str">
        <f>INDEX(Overview!$B$8:$B$33,MATCH('OS&amp;E_FF&amp;E'!$A380,Overview!$A$8:$A$33,0))</f>
        <v>Branded Stationary</v>
      </c>
    </row>
    <row r="381" spans="1:12">
      <c r="A381" s="39" t="s">
        <v>25</v>
      </c>
      <c r="B381" s="84">
        <f>IF(INDEX(Overview!$C$8:$C$33,MATCH('OS&amp;E_FF&amp;E'!A381,Overview!$A$8:$A$33,0))=0,0,1)</f>
        <v>1</v>
      </c>
      <c r="C381" s="13" t="s">
        <v>579</v>
      </c>
      <c r="D381" s="13" t="s">
        <v>541</v>
      </c>
      <c r="E381" s="58">
        <v>100</v>
      </c>
      <c r="F381" s="39"/>
      <c r="G381" s="14">
        <v>2</v>
      </c>
      <c r="H381" s="41">
        <f t="shared" si="6"/>
        <v>200</v>
      </c>
      <c r="I381" s="39"/>
      <c r="J381" s="39"/>
      <c r="K381" s="39"/>
      <c r="L381" s="40" t="str">
        <f>INDEX(Overview!$B$8:$B$33,MATCH('OS&amp;E_FF&amp;E'!$A381,Overview!$A$8:$A$33,0))</f>
        <v>Branded Stationary</v>
      </c>
    </row>
    <row r="382" spans="1:12">
      <c r="A382" s="39" t="s">
        <v>25</v>
      </c>
      <c r="B382" s="84">
        <f>IF(INDEX(Overview!$C$8:$C$33,MATCH('OS&amp;E_FF&amp;E'!A382,Overview!$A$8:$A$33,0))=0,0,1)</f>
        <v>1</v>
      </c>
      <c r="C382" s="13" t="s">
        <v>580</v>
      </c>
      <c r="D382" s="13" t="s">
        <v>541</v>
      </c>
      <c r="E382" s="58">
        <v>240</v>
      </c>
      <c r="F382" s="39"/>
      <c r="G382" s="14">
        <v>0.38</v>
      </c>
      <c r="H382" s="41">
        <f t="shared" si="6"/>
        <v>91.2</v>
      </c>
      <c r="I382" s="39"/>
      <c r="J382" s="39"/>
      <c r="K382" s="39"/>
      <c r="L382" s="40" t="str">
        <f>INDEX(Overview!$B$8:$B$33,MATCH('OS&amp;E_FF&amp;E'!$A382,Overview!$A$8:$A$33,0))</f>
        <v>Branded Stationary</v>
      </c>
    </row>
    <row r="383" spans="1:12">
      <c r="A383" s="39" t="s">
        <v>25</v>
      </c>
      <c r="B383" s="84">
        <f>IF(INDEX(Overview!$C$8:$C$33,MATCH('OS&amp;E_FF&amp;E'!A383,Overview!$A$8:$A$33,0))=0,0,1)</f>
        <v>1</v>
      </c>
      <c r="C383" s="13" t="s">
        <v>581</v>
      </c>
      <c r="D383" s="13" t="s">
        <v>541</v>
      </c>
      <c r="E383" s="58">
        <v>160</v>
      </c>
      <c r="F383" s="39"/>
      <c r="G383" s="14">
        <v>0.93</v>
      </c>
      <c r="H383" s="41">
        <f t="shared" si="6"/>
        <v>148.80000000000001</v>
      </c>
      <c r="I383" s="39"/>
      <c r="J383" s="39"/>
      <c r="K383" s="39"/>
      <c r="L383" s="40" t="str">
        <f>INDEX(Overview!$B$8:$B$33,MATCH('OS&amp;E_FF&amp;E'!$A383,Overview!$A$8:$A$33,0))</f>
        <v>Branded Stationary</v>
      </c>
    </row>
    <row r="384" spans="1:12">
      <c r="A384" s="39" t="s">
        <v>25</v>
      </c>
      <c r="B384" s="84">
        <f>IF(INDEX(Overview!$C$8:$C$33,MATCH('OS&amp;E_FF&amp;E'!A384,Overview!$A$8:$A$33,0))=0,0,1)</f>
        <v>1</v>
      </c>
      <c r="C384" s="13" t="s">
        <v>582</v>
      </c>
      <c r="D384" s="13" t="s">
        <v>541</v>
      </c>
      <c r="E384" s="58">
        <v>50</v>
      </c>
      <c r="F384" s="39"/>
      <c r="G384" s="14">
        <v>10</v>
      </c>
      <c r="H384" s="41">
        <f t="shared" si="6"/>
        <v>500</v>
      </c>
      <c r="I384" s="39"/>
      <c r="J384" s="39"/>
      <c r="K384" s="39"/>
      <c r="L384" s="40" t="str">
        <f>INDEX(Overview!$B$8:$B$33,MATCH('OS&amp;E_FF&amp;E'!$A384,Overview!$A$8:$A$33,0))</f>
        <v>Branded Stationary</v>
      </c>
    </row>
    <row r="385" spans="1:12">
      <c r="A385" s="39" t="s">
        <v>25</v>
      </c>
      <c r="B385" s="84">
        <f>IF(INDEX(Overview!$C$8:$C$33,MATCH('OS&amp;E_FF&amp;E'!A385,Overview!$A$8:$A$33,0))=0,0,1)</f>
        <v>1</v>
      </c>
      <c r="C385" s="13" t="s">
        <v>583</v>
      </c>
      <c r="D385" s="13" t="s">
        <v>541</v>
      </c>
      <c r="E385" s="58">
        <v>15</v>
      </c>
      <c r="F385" s="39"/>
      <c r="G385" s="14">
        <v>0.13</v>
      </c>
      <c r="H385" s="41">
        <f t="shared" si="6"/>
        <v>1.9500000000000002</v>
      </c>
      <c r="I385" s="39"/>
      <c r="J385" s="39"/>
      <c r="K385" s="39"/>
      <c r="L385" s="40" t="str">
        <f>INDEX(Overview!$B$8:$B$33,MATCH('OS&amp;E_FF&amp;E'!$A385,Overview!$A$8:$A$33,0))</f>
        <v>Branded Stationary</v>
      </c>
    </row>
    <row r="386" spans="1:12">
      <c r="A386" s="39" t="s">
        <v>25</v>
      </c>
      <c r="B386" s="84">
        <f>IF(INDEX(Overview!$C$8:$C$33,MATCH('OS&amp;E_FF&amp;E'!A386,Overview!$A$8:$A$33,0))=0,0,1)</f>
        <v>1</v>
      </c>
      <c r="C386" s="13" t="s">
        <v>584</v>
      </c>
      <c r="D386" s="13" t="s">
        <v>541</v>
      </c>
      <c r="E386" s="58">
        <v>50</v>
      </c>
      <c r="F386" s="39"/>
      <c r="G386" s="14">
        <v>1.18</v>
      </c>
      <c r="H386" s="41">
        <f t="shared" ref="H386:H417" si="7">E386*G386</f>
        <v>59</v>
      </c>
      <c r="I386" s="39"/>
      <c r="J386" s="39"/>
      <c r="K386" s="39"/>
      <c r="L386" s="40" t="str">
        <f>INDEX(Overview!$B$8:$B$33,MATCH('OS&amp;E_FF&amp;E'!$A386,Overview!$A$8:$A$33,0))</f>
        <v>Branded Stationary</v>
      </c>
    </row>
    <row r="387" spans="1:12">
      <c r="A387" s="39" t="s">
        <v>25</v>
      </c>
      <c r="B387" s="84">
        <f>IF(INDEX(Overview!$C$8:$C$33,MATCH('OS&amp;E_FF&amp;E'!A387,Overview!$A$8:$A$33,0))=0,0,1)</f>
        <v>1</v>
      </c>
      <c r="C387" s="13" t="s">
        <v>585</v>
      </c>
      <c r="D387" s="13" t="s">
        <v>541</v>
      </c>
      <c r="E387" s="58">
        <v>10</v>
      </c>
      <c r="F387" s="39"/>
      <c r="G387" s="14">
        <v>0.13</v>
      </c>
      <c r="H387" s="41">
        <f t="shared" si="7"/>
        <v>1.3</v>
      </c>
      <c r="I387" s="39"/>
      <c r="J387" s="39"/>
      <c r="K387" s="39"/>
      <c r="L387" s="40" t="str">
        <f>INDEX(Overview!$B$8:$B$33,MATCH('OS&amp;E_FF&amp;E'!$A387,Overview!$A$8:$A$33,0))</f>
        <v>Branded Stationary</v>
      </c>
    </row>
    <row r="388" spans="1:12">
      <c r="A388" s="39" t="s">
        <v>25</v>
      </c>
      <c r="B388" s="84">
        <f>IF(INDEX(Overview!$C$8:$C$33,MATCH('OS&amp;E_FF&amp;E'!A388,Overview!$A$8:$A$33,0))=0,0,1)</f>
        <v>1</v>
      </c>
      <c r="C388" s="13" t="s">
        <v>586</v>
      </c>
      <c r="D388" s="13" t="s">
        <v>541</v>
      </c>
      <c r="E388" s="58">
        <v>4</v>
      </c>
      <c r="F388" s="39"/>
      <c r="G388" s="14">
        <v>85.39</v>
      </c>
      <c r="H388" s="41">
        <f t="shared" si="7"/>
        <v>341.56</v>
      </c>
      <c r="I388" s="39"/>
      <c r="J388" s="39"/>
      <c r="K388" s="39"/>
      <c r="L388" s="40" t="str">
        <f>INDEX(Overview!$B$8:$B$33,MATCH('OS&amp;E_FF&amp;E'!$A388,Overview!$A$8:$A$33,0))</f>
        <v>Branded Stationary</v>
      </c>
    </row>
    <row r="389" spans="1:12">
      <c r="A389" s="39" t="s">
        <v>25</v>
      </c>
      <c r="B389" s="84">
        <f>IF(INDEX(Overview!$C$8:$C$33,MATCH('OS&amp;E_FF&amp;E'!A389,Overview!$A$8:$A$33,0))=0,0,1)</f>
        <v>1</v>
      </c>
      <c r="C389" s="13" t="s">
        <v>587</v>
      </c>
      <c r="D389" s="13" t="s">
        <v>541</v>
      </c>
      <c r="E389" s="57">
        <v>80</v>
      </c>
      <c r="F389" s="39"/>
      <c r="G389" s="71">
        <v>1.25</v>
      </c>
      <c r="H389" s="41">
        <f t="shared" si="7"/>
        <v>100</v>
      </c>
      <c r="I389" s="39"/>
      <c r="J389" s="39"/>
      <c r="K389" s="39"/>
      <c r="L389" s="40" t="str">
        <f>INDEX(Overview!$B$8:$B$33,MATCH('OS&amp;E_FF&amp;E'!$A389,Overview!$A$8:$A$33,0))</f>
        <v>Branded Stationary</v>
      </c>
    </row>
    <row r="390" spans="1:12">
      <c r="A390" s="39" t="s">
        <v>25</v>
      </c>
      <c r="B390" s="84">
        <f>IF(INDEX(Overview!$C$8:$C$33,MATCH('OS&amp;E_FF&amp;E'!A390,Overview!$A$8:$A$33,0))=0,0,1)</f>
        <v>1</v>
      </c>
      <c r="C390" s="13" t="s">
        <v>588</v>
      </c>
      <c r="D390" s="13" t="s">
        <v>541</v>
      </c>
      <c r="E390" s="58">
        <v>100</v>
      </c>
      <c r="F390" s="39"/>
      <c r="G390" s="14">
        <v>8</v>
      </c>
      <c r="H390" s="41">
        <f t="shared" si="7"/>
        <v>800</v>
      </c>
      <c r="I390" s="39"/>
      <c r="J390" s="39"/>
      <c r="K390" s="39"/>
      <c r="L390" s="40" t="str">
        <f>INDEX(Overview!$B$8:$B$33,MATCH('OS&amp;E_FF&amp;E'!$A390,Overview!$A$8:$A$33,0))</f>
        <v>Branded Stationary</v>
      </c>
    </row>
    <row r="391" spans="1:12">
      <c r="A391" s="39" t="s">
        <v>25</v>
      </c>
      <c r="B391" s="84">
        <f>IF(INDEX(Overview!$C$8:$C$33,MATCH('OS&amp;E_FF&amp;E'!A391,Overview!$A$8:$A$33,0))=0,0,1)</f>
        <v>1</v>
      </c>
      <c r="C391" s="13" t="s">
        <v>589</v>
      </c>
      <c r="D391" s="13" t="s">
        <v>541</v>
      </c>
      <c r="E391" s="57"/>
      <c r="F391" s="39"/>
      <c r="G391" s="71">
        <v>0</v>
      </c>
      <c r="H391" s="41">
        <f t="shared" si="7"/>
        <v>0</v>
      </c>
      <c r="I391" s="39"/>
      <c r="J391" s="39"/>
      <c r="K391" s="39"/>
      <c r="L391" s="40" t="str">
        <f>INDEX(Overview!$B$8:$B$33,MATCH('OS&amp;E_FF&amp;E'!$A391,Overview!$A$8:$A$33,0))</f>
        <v>Branded Stationary</v>
      </c>
    </row>
    <row r="392" spans="1:12">
      <c r="A392" s="39" t="s">
        <v>25</v>
      </c>
      <c r="B392" s="84">
        <f>IF(INDEX(Overview!$C$8:$C$33,MATCH('OS&amp;E_FF&amp;E'!A392,Overview!$A$8:$A$33,0))=0,0,1)</f>
        <v>1</v>
      </c>
      <c r="C392" s="13" t="s">
        <v>590</v>
      </c>
      <c r="D392" s="13" t="s">
        <v>541</v>
      </c>
      <c r="E392" s="57"/>
      <c r="F392" s="39"/>
      <c r="G392" s="71">
        <v>0</v>
      </c>
      <c r="H392" s="41">
        <f t="shared" si="7"/>
        <v>0</v>
      </c>
      <c r="I392" s="39"/>
      <c r="J392" s="39"/>
      <c r="K392" s="39"/>
      <c r="L392" s="40" t="str">
        <f>INDEX(Overview!$B$8:$B$33,MATCH('OS&amp;E_FF&amp;E'!$A392,Overview!$A$8:$A$33,0))</f>
        <v>Branded Stationary</v>
      </c>
    </row>
    <row r="393" spans="1:12">
      <c r="A393" s="39" t="s">
        <v>25</v>
      </c>
      <c r="B393" s="84">
        <f>IF(INDEX(Overview!$C$8:$C$33,MATCH('OS&amp;E_FF&amp;E'!A393,Overview!$A$8:$A$33,0))=0,0,1)</f>
        <v>1</v>
      </c>
      <c r="C393" s="13" t="s">
        <v>591</v>
      </c>
      <c r="D393" s="13" t="s">
        <v>541</v>
      </c>
      <c r="E393" s="60">
        <v>90</v>
      </c>
      <c r="F393" s="39"/>
      <c r="G393" s="75">
        <v>3.09</v>
      </c>
      <c r="H393" s="41">
        <f t="shared" si="7"/>
        <v>278.09999999999997</v>
      </c>
      <c r="I393" s="39"/>
      <c r="J393" s="39"/>
      <c r="K393" s="39"/>
      <c r="L393" s="40" t="str">
        <f>INDEX(Overview!$B$8:$B$33,MATCH('OS&amp;E_FF&amp;E'!$A393,Overview!$A$8:$A$33,0))</f>
        <v>Branded Stationary</v>
      </c>
    </row>
    <row r="394" spans="1:12">
      <c r="A394" s="39" t="s">
        <v>25</v>
      </c>
      <c r="B394" s="84">
        <f>IF(INDEX(Overview!$C$8:$C$33,MATCH('OS&amp;E_FF&amp;E'!A394,Overview!$A$8:$A$33,0))=0,0,1)</f>
        <v>1</v>
      </c>
      <c r="C394" s="13" t="s">
        <v>592</v>
      </c>
      <c r="D394" s="13" t="s">
        <v>541</v>
      </c>
      <c r="E394" s="60">
        <v>90</v>
      </c>
      <c r="F394" s="39"/>
      <c r="G394" s="75">
        <v>3.09</v>
      </c>
      <c r="H394" s="41">
        <f t="shared" si="7"/>
        <v>278.09999999999997</v>
      </c>
      <c r="I394" s="39"/>
      <c r="J394" s="39"/>
      <c r="K394" s="39"/>
      <c r="L394" s="40" t="str">
        <f>INDEX(Overview!$B$8:$B$33,MATCH('OS&amp;E_FF&amp;E'!$A394,Overview!$A$8:$A$33,0))</f>
        <v>Branded Stationary</v>
      </c>
    </row>
    <row r="395" spans="1:12">
      <c r="A395" s="39" t="s">
        <v>25</v>
      </c>
      <c r="B395" s="84">
        <f>IF(INDEX(Overview!$C$8:$C$33,MATCH('OS&amp;E_FF&amp;E'!A395,Overview!$A$8:$A$33,0))=0,0,1)</f>
        <v>1</v>
      </c>
      <c r="C395" s="13" t="s">
        <v>593</v>
      </c>
      <c r="D395" s="13" t="s">
        <v>541</v>
      </c>
      <c r="E395" s="60">
        <v>180</v>
      </c>
      <c r="F395" s="39"/>
      <c r="G395" s="75">
        <v>3.09</v>
      </c>
      <c r="H395" s="41">
        <f t="shared" si="7"/>
        <v>556.19999999999993</v>
      </c>
      <c r="I395" s="39"/>
      <c r="J395" s="39"/>
      <c r="K395" s="39"/>
      <c r="L395" s="40" t="str">
        <f>INDEX(Overview!$B$8:$B$33,MATCH('OS&amp;E_FF&amp;E'!$A395,Overview!$A$8:$A$33,0))</f>
        <v>Branded Stationary</v>
      </c>
    </row>
    <row r="396" spans="1:12">
      <c r="A396" s="39" t="s">
        <v>25</v>
      </c>
      <c r="B396" s="84">
        <f>IF(INDEX(Overview!$C$8:$C$33,MATCH('OS&amp;E_FF&amp;E'!A396,Overview!$A$8:$A$33,0))=0,0,1)</f>
        <v>1</v>
      </c>
      <c r="C396" s="13" t="s">
        <v>594</v>
      </c>
      <c r="D396" s="13" t="s">
        <v>541</v>
      </c>
      <c r="E396" s="60">
        <v>3</v>
      </c>
      <c r="F396" s="39"/>
      <c r="G396" s="75">
        <v>500</v>
      </c>
      <c r="H396" s="41">
        <f t="shared" si="7"/>
        <v>1500</v>
      </c>
      <c r="I396" s="39"/>
      <c r="J396" s="39"/>
      <c r="K396" s="39"/>
      <c r="L396" s="40" t="str">
        <f>INDEX(Overview!$B$8:$B$33,MATCH('OS&amp;E_FF&amp;E'!$A396,Overview!$A$8:$A$33,0))</f>
        <v>Branded Stationary</v>
      </c>
    </row>
    <row r="397" spans="1:12">
      <c r="A397" s="39" t="s">
        <v>25</v>
      </c>
      <c r="B397" s="84">
        <f>IF(INDEX(Overview!$C$8:$C$33,MATCH('OS&amp;E_FF&amp;E'!A397,Overview!$A$8:$A$33,0))=0,0,1)</f>
        <v>1</v>
      </c>
      <c r="C397" s="13" t="s">
        <v>595</v>
      </c>
      <c r="D397" s="13" t="s">
        <v>541</v>
      </c>
      <c r="E397" s="60">
        <v>2</v>
      </c>
      <c r="F397" s="39"/>
      <c r="G397" s="75">
        <v>50</v>
      </c>
      <c r="H397" s="41">
        <f t="shared" si="7"/>
        <v>100</v>
      </c>
      <c r="I397" s="39"/>
      <c r="J397" s="39"/>
      <c r="K397" s="39"/>
      <c r="L397" s="40" t="str">
        <f>INDEX(Overview!$B$8:$B$33,MATCH('OS&amp;E_FF&amp;E'!$A397,Overview!$A$8:$A$33,0))</f>
        <v>Branded Stationary</v>
      </c>
    </row>
    <row r="398" spans="1:12">
      <c r="A398" s="39" t="s">
        <v>25</v>
      </c>
      <c r="B398" s="84">
        <f>IF(INDEX(Overview!$C$8:$C$33,MATCH('OS&amp;E_FF&amp;E'!A398,Overview!$A$8:$A$33,0))=0,0,1)</f>
        <v>1</v>
      </c>
      <c r="C398" s="13" t="s">
        <v>596</v>
      </c>
      <c r="D398" s="13" t="s">
        <v>541</v>
      </c>
      <c r="E398" s="57">
        <v>1</v>
      </c>
      <c r="F398" s="39"/>
      <c r="G398" s="71">
        <v>5</v>
      </c>
      <c r="H398" s="41">
        <f t="shared" si="7"/>
        <v>5</v>
      </c>
      <c r="I398" s="39"/>
      <c r="J398" s="39"/>
      <c r="K398" s="39"/>
      <c r="L398" s="40" t="str">
        <f>INDEX(Overview!$B$8:$B$33,MATCH('OS&amp;E_FF&amp;E'!$A398,Overview!$A$8:$A$33,0))</f>
        <v>Branded Stationary</v>
      </c>
    </row>
    <row r="399" spans="1:12">
      <c r="A399" s="39" t="s">
        <v>25</v>
      </c>
      <c r="B399" s="84">
        <f>IF(INDEX(Overview!$C$8:$C$33,MATCH('OS&amp;E_FF&amp;E'!A399,Overview!$A$8:$A$33,0))=0,0,1)</f>
        <v>1</v>
      </c>
      <c r="C399" s="13" t="s">
        <v>597</v>
      </c>
      <c r="D399" s="13" t="s">
        <v>541</v>
      </c>
      <c r="E399" s="57">
        <v>1</v>
      </c>
      <c r="F399" s="39"/>
      <c r="G399" s="71">
        <v>5</v>
      </c>
      <c r="H399" s="41">
        <f t="shared" si="7"/>
        <v>5</v>
      </c>
      <c r="I399" s="39"/>
      <c r="J399" s="39"/>
      <c r="K399" s="39"/>
      <c r="L399" s="40" t="str">
        <f>INDEX(Overview!$B$8:$B$33,MATCH('OS&amp;E_FF&amp;E'!$A399,Overview!$A$8:$A$33,0))</f>
        <v>Branded Stationary</v>
      </c>
    </row>
    <row r="400" spans="1:12">
      <c r="A400" s="39" t="s">
        <v>25</v>
      </c>
      <c r="B400" s="84">
        <f>IF(INDEX(Overview!$C$8:$C$33,MATCH('OS&amp;E_FF&amp;E'!A400,Overview!$A$8:$A$33,0))=0,0,1)</f>
        <v>1</v>
      </c>
      <c r="C400" s="13" t="s">
        <v>598</v>
      </c>
      <c r="D400" s="13" t="s">
        <v>541</v>
      </c>
      <c r="E400" s="58">
        <v>200</v>
      </c>
      <c r="F400" s="39"/>
      <c r="G400" s="14">
        <v>6.3</v>
      </c>
      <c r="H400" s="41">
        <f t="shared" si="7"/>
        <v>1260</v>
      </c>
      <c r="I400" s="39"/>
      <c r="J400" s="39"/>
      <c r="K400" s="39"/>
      <c r="L400" s="40" t="str">
        <f>INDEX(Overview!$B$8:$B$33,MATCH('OS&amp;E_FF&amp;E'!$A400,Overview!$A$8:$A$33,0))</f>
        <v>Branded Stationary</v>
      </c>
    </row>
    <row r="401" spans="1:12">
      <c r="A401" s="39" t="s">
        <v>25</v>
      </c>
      <c r="B401" s="84">
        <f>IF(INDEX(Overview!$C$8:$C$33,MATCH('OS&amp;E_FF&amp;E'!A401,Overview!$A$8:$A$33,0))=0,0,1)</f>
        <v>1</v>
      </c>
      <c r="C401" s="13" t="s">
        <v>599</v>
      </c>
      <c r="D401" s="13" t="s">
        <v>541</v>
      </c>
      <c r="E401" s="59">
        <v>12</v>
      </c>
      <c r="F401" s="39"/>
      <c r="G401" s="74">
        <v>11</v>
      </c>
      <c r="H401" s="41">
        <f t="shared" si="7"/>
        <v>132</v>
      </c>
      <c r="I401" s="39"/>
      <c r="J401" s="39"/>
      <c r="K401" s="39"/>
      <c r="L401" s="40" t="str">
        <f>INDEX(Overview!$B$8:$B$33,MATCH('OS&amp;E_FF&amp;E'!$A401,Overview!$A$8:$A$33,0))</f>
        <v>Branded Stationary</v>
      </c>
    </row>
    <row r="402" spans="1:12">
      <c r="A402" s="39" t="s">
        <v>25</v>
      </c>
      <c r="B402" s="84">
        <f>IF(INDEX(Overview!$C$8:$C$33,MATCH('OS&amp;E_FF&amp;E'!A402,Overview!$A$8:$A$33,0))=0,0,1)</f>
        <v>1</v>
      </c>
      <c r="C402" s="13" t="s">
        <v>600</v>
      </c>
      <c r="D402" s="13" t="s">
        <v>541</v>
      </c>
      <c r="E402" s="58">
        <v>5000</v>
      </c>
      <c r="F402" s="39"/>
      <c r="G402" s="14">
        <v>7.0000000000000007E-2</v>
      </c>
      <c r="H402" s="41">
        <f t="shared" si="7"/>
        <v>350.00000000000006</v>
      </c>
      <c r="I402" s="39"/>
      <c r="J402" s="39"/>
      <c r="K402" s="39"/>
      <c r="L402" s="40" t="str">
        <f>INDEX(Overview!$B$8:$B$33,MATCH('OS&amp;E_FF&amp;E'!$A402,Overview!$A$8:$A$33,0))</f>
        <v>Branded Stationary</v>
      </c>
    </row>
    <row r="403" spans="1:12">
      <c r="A403" s="39" t="s">
        <v>25</v>
      </c>
      <c r="B403" s="84">
        <f>IF(INDEX(Overview!$C$8:$C$33,MATCH('OS&amp;E_FF&amp;E'!A403,Overview!$A$8:$A$33,0))=0,0,1)</f>
        <v>1</v>
      </c>
      <c r="C403" s="13" t="s">
        <v>601</v>
      </c>
      <c r="D403" s="13" t="s">
        <v>541</v>
      </c>
      <c r="E403" s="58">
        <v>500</v>
      </c>
      <c r="F403" s="39"/>
      <c r="G403" s="14">
        <v>2.95</v>
      </c>
      <c r="H403" s="41">
        <f t="shared" si="7"/>
        <v>1475</v>
      </c>
      <c r="I403" s="39"/>
      <c r="J403" s="39"/>
      <c r="K403" s="39"/>
      <c r="L403" s="40" t="str">
        <f>INDEX(Overview!$B$8:$B$33,MATCH('OS&amp;E_FF&amp;E'!$A403,Overview!$A$8:$A$33,0))</f>
        <v>Branded Stationary</v>
      </c>
    </row>
    <row r="404" spans="1:12">
      <c r="A404" s="39" t="s">
        <v>25</v>
      </c>
      <c r="B404" s="84">
        <f>IF(INDEX(Overview!$C$8:$C$33,MATCH('OS&amp;E_FF&amp;E'!A404,Overview!$A$8:$A$33,0))=0,0,1)</f>
        <v>1</v>
      </c>
      <c r="C404" s="13" t="s">
        <v>602</v>
      </c>
      <c r="D404" s="13" t="s">
        <v>541</v>
      </c>
      <c r="E404" s="57">
        <v>250</v>
      </c>
      <c r="F404" s="39"/>
      <c r="G404" s="71">
        <v>3</v>
      </c>
      <c r="H404" s="41">
        <f t="shared" si="7"/>
        <v>750</v>
      </c>
      <c r="I404" s="39"/>
      <c r="J404" s="39"/>
      <c r="K404" s="39"/>
      <c r="L404" s="40" t="str">
        <f>INDEX(Overview!$B$8:$B$33,MATCH('OS&amp;E_FF&amp;E'!$A404,Overview!$A$8:$A$33,0))</f>
        <v>Branded Stationary</v>
      </c>
    </row>
    <row r="405" spans="1:12">
      <c r="A405" s="39" t="s">
        <v>25</v>
      </c>
      <c r="B405" s="84">
        <f>IF(INDEX(Overview!$C$8:$C$33,MATCH('OS&amp;E_FF&amp;E'!A405,Overview!$A$8:$A$33,0))=0,0,1)</f>
        <v>1</v>
      </c>
      <c r="C405" s="13" t="s">
        <v>603</v>
      </c>
      <c r="D405" s="13" t="s">
        <v>541</v>
      </c>
      <c r="E405" s="59">
        <v>1</v>
      </c>
      <c r="F405" s="39"/>
      <c r="G405" s="74">
        <v>50</v>
      </c>
      <c r="H405" s="41">
        <f t="shared" si="7"/>
        <v>50</v>
      </c>
      <c r="I405" s="39"/>
      <c r="J405" s="39"/>
      <c r="K405" s="39"/>
      <c r="L405" s="40" t="str">
        <f>INDEX(Overview!$B$8:$B$33,MATCH('OS&amp;E_FF&amp;E'!$A405,Overview!$A$8:$A$33,0))</f>
        <v>Branded Stationary</v>
      </c>
    </row>
    <row r="406" spans="1:12">
      <c r="A406" s="39" t="s">
        <v>25</v>
      </c>
      <c r="B406" s="84">
        <f>IF(INDEX(Overview!$C$8:$C$33,MATCH('OS&amp;E_FF&amp;E'!A406,Overview!$A$8:$A$33,0))=0,0,1)</f>
        <v>1</v>
      </c>
      <c r="C406" s="13" t="s">
        <v>604</v>
      </c>
      <c r="D406" s="13" t="s">
        <v>541</v>
      </c>
      <c r="E406" s="58">
        <v>1</v>
      </c>
      <c r="F406" s="39"/>
      <c r="G406" s="14">
        <v>69.45</v>
      </c>
      <c r="H406" s="41">
        <f t="shared" si="7"/>
        <v>69.45</v>
      </c>
      <c r="I406" s="39"/>
      <c r="J406" s="39"/>
      <c r="K406" s="39"/>
      <c r="L406" s="40" t="str">
        <f>INDEX(Overview!$B$8:$B$33,MATCH('OS&amp;E_FF&amp;E'!$A406,Overview!$A$8:$A$33,0))</f>
        <v>Branded Stationary</v>
      </c>
    </row>
    <row r="407" spans="1:12">
      <c r="A407" s="39" t="s">
        <v>25</v>
      </c>
      <c r="B407" s="84">
        <f>IF(INDEX(Overview!$C$8:$C$33,MATCH('OS&amp;E_FF&amp;E'!A407,Overview!$A$8:$A$33,0))=0,0,1)</f>
        <v>1</v>
      </c>
      <c r="C407" s="13" t="s">
        <v>605</v>
      </c>
      <c r="D407" s="13" t="s">
        <v>541</v>
      </c>
      <c r="E407" s="58">
        <v>1</v>
      </c>
      <c r="F407" s="39"/>
      <c r="G407" s="14">
        <v>196</v>
      </c>
      <c r="H407" s="41">
        <f t="shared" si="7"/>
        <v>196</v>
      </c>
      <c r="I407" s="39"/>
      <c r="J407" s="39"/>
      <c r="K407" s="39"/>
      <c r="L407" s="40" t="str">
        <f>INDEX(Overview!$B$8:$B$33,MATCH('OS&amp;E_FF&amp;E'!$A407,Overview!$A$8:$A$33,0))</f>
        <v>Branded Stationary</v>
      </c>
    </row>
    <row r="408" spans="1:12">
      <c r="A408" s="39" t="s">
        <v>25</v>
      </c>
      <c r="B408" s="84">
        <f>IF(INDEX(Overview!$C$8:$C$33,MATCH('OS&amp;E_FF&amp;E'!A408,Overview!$A$8:$A$33,0))=0,0,1)</f>
        <v>1</v>
      </c>
      <c r="C408" s="13" t="s">
        <v>606</v>
      </c>
      <c r="D408" s="13" t="s">
        <v>541</v>
      </c>
      <c r="E408" s="58">
        <v>1</v>
      </c>
      <c r="F408" s="39"/>
      <c r="G408" s="14">
        <v>5</v>
      </c>
      <c r="H408" s="41">
        <f t="shared" si="7"/>
        <v>5</v>
      </c>
      <c r="I408" s="39"/>
      <c r="J408" s="39"/>
      <c r="K408" s="39"/>
      <c r="L408" s="40" t="str">
        <f>INDEX(Overview!$B$8:$B$33,MATCH('OS&amp;E_FF&amp;E'!$A408,Overview!$A$8:$A$33,0))</f>
        <v>Branded Stationary</v>
      </c>
    </row>
    <row r="409" spans="1:12">
      <c r="A409" s="39" t="s">
        <v>25</v>
      </c>
      <c r="B409" s="84">
        <f>IF(INDEX(Overview!$C$8:$C$33,MATCH('OS&amp;E_FF&amp;E'!A409,Overview!$A$8:$A$33,0))=0,0,1)</f>
        <v>1</v>
      </c>
      <c r="C409" s="13" t="s">
        <v>607</v>
      </c>
      <c r="D409" s="13" t="s">
        <v>541</v>
      </c>
      <c r="E409" s="58">
        <v>1</v>
      </c>
      <c r="F409" s="39"/>
      <c r="G409" s="14">
        <v>162</v>
      </c>
      <c r="H409" s="41">
        <f t="shared" si="7"/>
        <v>162</v>
      </c>
      <c r="I409" s="39"/>
      <c r="J409" s="39"/>
      <c r="K409" s="39"/>
      <c r="L409" s="40" t="str">
        <f>INDEX(Overview!$B$8:$B$33,MATCH('OS&amp;E_FF&amp;E'!$A409,Overview!$A$8:$A$33,0))</f>
        <v>Branded Stationary</v>
      </c>
    </row>
    <row r="410" spans="1:12">
      <c r="A410" s="39" t="s">
        <v>25</v>
      </c>
      <c r="B410" s="84">
        <f>IF(INDEX(Overview!$C$8:$C$33,MATCH('OS&amp;E_FF&amp;E'!A410,Overview!$A$8:$A$33,0))=0,0,1)</f>
        <v>1</v>
      </c>
      <c r="C410" s="13" t="s">
        <v>608</v>
      </c>
      <c r="D410" s="13" t="s">
        <v>541</v>
      </c>
      <c r="E410" s="58">
        <v>2</v>
      </c>
      <c r="F410" s="39"/>
      <c r="G410" s="14">
        <v>457</v>
      </c>
      <c r="H410" s="41">
        <f t="shared" si="7"/>
        <v>914</v>
      </c>
      <c r="I410" s="39"/>
      <c r="J410" s="39"/>
      <c r="K410" s="39"/>
      <c r="L410" s="40" t="str">
        <f>INDEX(Overview!$B$8:$B$33,MATCH('OS&amp;E_FF&amp;E'!$A410,Overview!$A$8:$A$33,0))</f>
        <v>Branded Stationary</v>
      </c>
    </row>
    <row r="411" spans="1:12">
      <c r="A411" s="39" t="s">
        <v>25</v>
      </c>
      <c r="B411" s="84">
        <f>IF(INDEX(Overview!$C$8:$C$33,MATCH('OS&amp;E_FF&amp;E'!A411,Overview!$A$8:$A$33,0))=0,0,1)</f>
        <v>1</v>
      </c>
      <c r="C411" s="13" t="s">
        <v>609</v>
      </c>
      <c r="D411" s="13" t="s">
        <v>541</v>
      </c>
      <c r="E411" s="58">
        <v>1</v>
      </c>
      <c r="F411" s="39"/>
      <c r="G411" s="14">
        <v>196</v>
      </c>
      <c r="H411" s="41">
        <f t="shared" si="7"/>
        <v>196</v>
      </c>
      <c r="I411" s="39"/>
      <c r="J411" s="39"/>
      <c r="K411" s="39"/>
      <c r="L411" s="40" t="str">
        <f>INDEX(Overview!$B$8:$B$33,MATCH('OS&amp;E_FF&amp;E'!$A411,Overview!$A$8:$A$33,0))</f>
        <v>Branded Stationary</v>
      </c>
    </row>
    <row r="412" spans="1:12">
      <c r="A412" s="39" t="s">
        <v>25</v>
      </c>
      <c r="B412" s="84">
        <f>IF(INDEX(Overview!$C$8:$C$33,MATCH('OS&amp;E_FF&amp;E'!A412,Overview!$A$8:$A$33,0))=0,0,1)</f>
        <v>1</v>
      </c>
      <c r="C412" s="13" t="s">
        <v>610</v>
      </c>
      <c r="D412" s="13" t="s">
        <v>541</v>
      </c>
      <c r="E412" s="57">
        <v>2</v>
      </c>
      <c r="F412" s="39"/>
      <c r="G412" s="71">
        <v>130</v>
      </c>
      <c r="H412" s="41">
        <f t="shared" si="7"/>
        <v>260</v>
      </c>
      <c r="I412" s="39"/>
      <c r="J412" s="39"/>
      <c r="K412" s="39"/>
      <c r="L412" s="40" t="str">
        <f>INDEX(Overview!$B$8:$B$33,MATCH('OS&amp;E_FF&amp;E'!$A412,Overview!$A$8:$A$33,0))</f>
        <v>Branded Stationary</v>
      </c>
    </row>
    <row r="413" spans="1:12">
      <c r="A413" s="39" t="s">
        <v>25</v>
      </c>
      <c r="B413" s="84">
        <f>IF(INDEX(Overview!$C$8:$C$33,MATCH('OS&amp;E_FF&amp;E'!A413,Overview!$A$8:$A$33,0))=0,0,1)</f>
        <v>1</v>
      </c>
      <c r="C413" s="13" t="s">
        <v>611</v>
      </c>
      <c r="D413" s="13" t="s">
        <v>541</v>
      </c>
      <c r="E413" s="58">
        <v>1</v>
      </c>
      <c r="F413" s="39"/>
      <c r="G413" s="14">
        <v>413</v>
      </c>
      <c r="H413" s="41">
        <f t="shared" si="7"/>
        <v>413</v>
      </c>
      <c r="I413" s="39"/>
      <c r="J413" s="39"/>
      <c r="K413" s="39"/>
      <c r="L413" s="40" t="str">
        <f>INDEX(Overview!$B$8:$B$33,MATCH('OS&amp;E_FF&amp;E'!$A413,Overview!$A$8:$A$33,0))</f>
        <v>Branded Stationary</v>
      </c>
    </row>
    <row r="414" spans="1:12">
      <c r="A414" s="39" t="s">
        <v>25</v>
      </c>
      <c r="B414" s="84">
        <f>IF(INDEX(Overview!$C$8:$C$33,MATCH('OS&amp;E_FF&amp;E'!A414,Overview!$A$8:$A$33,0))=0,0,1)</f>
        <v>1</v>
      </c>
      <c r="C414" s="13" t="s">
        <v>612</v>
      </c>
      <c r="D414" s="13" t="s">
        <v>541</v>
      </c>
      <c r="E414" s="58">
        <v>1</v>
      </c>
      <c r="F414" s="39"/>
      <c r="G414" s="14">
        <v>300</v>
      </c>
      <c r="H414" s="41">
        <f t="shared" si="7"/>
        <v>300</v>
      </c>
      <c r="I414" s="39"/>
      <c r="J414" s="39"/>
      <c r="K414" s="39"/>
      <c r="L414" s="40" t="str">
        <f>INDEX(Overview!$B$8:$B$33,MATCH('OS&amp;E_FF&amp;E'!$A414,Overview!$A$8:$A$33,0))</f>
        <v>Branded Stationary</v>
      </c>
    </row>
    <row r="415" spans="1:12">
      <c r="A415" s="39" t="s">
        <v>25</v>
      </c>
      <c r="B415" s="84">
        <f>IF(INDEX(Overview!$C$8:$C$33,MATCH('OS&amp;E_FF&amp;E'!A415,Overview!$A$8:$A$33,0))=0,0,1)</f>
        <v>1</v>
      </c>
      <c r="C415" s="13" t="s">
        <v>613</v>
      </c>
      <c r="D415" s="13" t="s">
        <v>541</v>
      </c>
      <c r="E415" s="57">
        <v>10</v>
      </c>
      <c r="F415" s="39"/>
      <c r="G415" s="71">
        <v>60.5</v>
      </c>
      <c r="H415" s="41">
        <f t="shared" si="7"/>
        <v>605</v>
      </c>
      <c r="I415" s="39"/>
      <c r="J415" s="39"/>
      <c r="K415" s="39"/>
      <c r="L415" s="40" t="str">
        <f>INDEX(Overview!$B$8:$B$33,MATCH('OS&amp;E_FF&amp;E'!$A415,Overview!$A$8:$A$33,0))</f>
        <v>Branded Stationary</v>
      </c>
    </row>
    <row r="416" spans="1:12">
      <c r="A416" s="39" t="s">
        <v>25</v>
      </c>
      <c r="B416" s="84">
        <f>IF(INDEX(Overview!$C$8:$C$33,MATCH('OS&amp;E_FF&amp;E'!A416,Overview!$A$8:$A$33,0))=0,0,1)</f>
        <v>1</v>
      </c>
      <c r="C416" s="13" t="s">
        <v>614</v>
      </c>
      <c r="D416" s="13" t="s">
        <v>541</v>
      </c>
      <c r="E416" s="63">
        <v>1</v>
      </c>
      <c r="F416" s="39"/>
      <c r="G416" s="76">
        <v>1500</v>
      </c>
      <c r="H416" s="41">
        <f t="shared" si="7"/>
        <v>1500</v>
      </c>
      <c r="I416" s="39"/>
      <c r="J416" s="39"/>
      <c r="K416" s="39"/>
      <c r="L416" s="40" t="str">
        <f>INDEX(Overview!$B$8:$B$33,MATCH('OS&amp;E_FF&amp;E'!$A416,Overview!$A$8:$A$33,0))</f>
        <v>Branded Stationary</v>
      </c>
    </row>
    <row r="417" spans="1:12">
      <c r="A417" s="39" t="s">
        <v>25</v>
      </c>
      <c r="B417" s="84">
        <f>IF(INDEX(Overview!$C$8:$C$33,MATCH('OS&amp;E_FF&amp;E'!A417,Overview!$A$8:$A$33,0))=0,0,1)</f>
        <v>1</v>
      </c>
      <c r="C417" s="13" t="s">
        <v>615</v>
      </c>
      <c r="D417" s="13" t="s">
        <v>541</v>
      </c>
      <c r="E417" s="64"/>
      <c r="F417" s="39"/>
      <c r="G417" s="64"/>
      <c r="H417" s="41">
        <f t="shared" si="7"/>
        <v>0</v>
      </c>
      <c r="I417" s="39"/>
      <c r="J417" s="39"/>
      <c r="K417" s="39"/>
      <c r="L417" s="40" t="str">
        <f>INDEX(Overview!$B$8:$B$33,MATCH('OS&amp;E_FF&amp;E'!$A417,Overview!$A$8:$A$33,0))</f>
        <v>Branded Stationary</v>
      </c>
    </row>
    <row r="418" spans="1:12">
      <c r="A418" s="39" t="s">
        <v>25</v>
      </c>
      <c r="B418" s="84">
        <f>IF(INDEX(Overview!$C$8:$C$33,MATCH('OS&amp;E_FF&amp;E'!A418,Overview!$A$8:$A$33,0))=0,0,1)</f>
        <v>1</v>
      </c>
      <c r="C418" s="13" t="s">
        <v>534</v>
      </c>
      <c r="D418" s="13" t="s">
        <v>541</v>
      </c>
      <c r="E418" s="58">
        <v>1</v>
      </c>
      <c r="F418" s="39"/>
      <c r="G418" s="14">
        <v>5</v>
      </c>
      <c r="H418" s="41">
        <f t="shared" ref="H418:H449" si="8">E418*G418</f>
        <v>5</v>
      </c>
      <c r="I418" s="39"/>
      <c r="J418" s="39"/>
      <c r="K418" s="39"/>
      <c r="L418" s="40" t="str">
        <f>INDEX(Overview!$B$8:$B$33,MATCH('OS&amp;E_FF&amp;E'!$A418,Overview!$A$8:$A$33,0))</f>
        <v>Branded Stationary</v>
      </c>
    </row>
    <row r="419" spans="1:12">
      <c r="A419" s="39" t="s">
        <v>25</v>
      </c>
      <c r="B419" s="84">
        <f>IF(INDEX(Overview!$C$8:$C$33,MATCH('OS&amp;E_FF&amp;E'!A419,Overview!$A$8:$A$33,0))=0,0,1)</f>
        <v>1</v>
      </c>
      <c r="C419" s="13" t="s">
        <v>616</v>
      </c>
      <c r="D419" s="13" t="s">
        <v>541</v>
      </c>
      <c r="E419" s="58">
        <v>1</v>
      </c>
      <c r="F419" s="39"/>
      <c r="G419" s="14">
        <v>5</v>
      </c>
      <c r="H419" s="41">
        <f t="shared" si="8"/>
        <v>5</v>
      </c>
      <c r="I419" s="39"/>
      <c r="J419" s="39"/>
      <c r="K419" s="39"/>
      <c r="L419" s="40" t="str">
        <f>INDEX(Overview!$B$8:$B$33,MATCH('OS&amp;E_FF&amp;E'!$A419,Overview!$A$8:$A$33,0))</f>
        <v>Branded Stationary</v>
      </c>
    </row>
    <row r="420" spans="1:12">
      <c r="A420" s="39" t="s">
        <v>25</v>
      </c>
      <c r="B420" s="84">
        <f>IF(INDEX(Overview!$C$8:$C$33,MATCH('OS&amp;E_FF&amp;E'!A420,Overview!$A$8:$A$33,0))=0,0,1)</f>
        <v>1</v>
      </c>
      <c r="C420" s="13" t="s">
        <v>617</v>
      </c>
      <c r="D420" s="13" t="s">
        <v>541</v>
      </c>
      <c r="E420" s="57"/>
      <c r="F420" s="39"/>
      <c r="G420" s="71">
        <v>0</v>
      </c>
      <c r="H420" s="41">
        <f t="shared" si="8"/>
        <v>0</v>
      </c>
      <c r="I420" s="39"/>
      <c r="J420" s="39"/>
      <c r="K420" s="39"/>
      <c r="L420" s="40" t="str">
        <f>INDEX(Overview!$B$8:$B$33,MATCH('OS&amp;E_FF&amp;E'!$A420,Overview!$A$8:$A$33,0))</f>
        <v>Branded Stationary</v>
      </c>
    </row>
    <row r="421" spans="1:12">
      <c r="A421" s="39" t="s">
        <v>79</v>
      </c>
      <c r="B421" s="84">
        <f>IF(INDEX(Overview!$C$8:$C$33,MATCH('OS&amp;E_FF&amp;E'!A421,Overview!$A$8:$A$33,0))=0,0,1)</f>
        <v>1</v>
      </c>
      <c r="C421" s="13" t="s">
        <v>618</v>
      </c>
      <c r="D421" s="39"/>
      <c r="E421" s="39"/>
      <c r="F421" s="39" t="s">
        <v>619</v>
      </c>
      <c r="G421" s="30"/>
      <c r="H421" s="30">
        <f t="shared" si="8"/>
        <v>0</v>
      </c>
      <c r="I421" s="39"/>
      <c r="J421" s="39"/>
      <c r="K421" s="39"/>
      <c r="L421" s="40" t="str">
        <f>INDEX(Overview!$B$8:$B$33,MATCH('OS&amp;E_FF&amp;E'!$A421,Overview!$A$8:$A$33,0))</f>
        <v>OS&amp;E Rooms</v>
      </c>
    </row>
    <row r="422" spans="1:12">
      <c r="A422" s="39" t="s">
        <v>79</v>
      </c>
      <c r="B422" s="84">
        <f>IF(INDEX(Overview!$C$8:$C$33,MATCH('OS&amp;E_FF&amp;E'!A422,Overview!$A$8:$A$33,0))=0,0,1)</f>
        <v>1</v>
      </c>
      <c r="C422" s="13" t="s">
        <v>477</v>
      </c>
      <c r="D422" s="13" t="s">
        <v>478</v>
      </c>
      <c r="E422" s="13">
        <v>0</v>
      </c>
      <c r="F422" s="39" t="s">
        <v>31</v>
      </c>
      <c r="G422" s="30">
        <v>18</v>
      </c>
      <c r="H422" s="30">
        <f t="shared" si="8"/>
        <v>0</v>
      </c>
      <c r="I422" s="39"/>
      <c r="J422" s="39"/>
      <c r="K422" s="39"/>
      <c r="L422" s="40" t="str">
        <f>INDEX(Overview!$B$8:$B$33,MATCH('OS&amp;E_FF&amp;E'!$A422,Overview!$A$8:$A$33,0))</f>
        <v>OS&amp;E Rooms</v>
      </c>
    </row>
    <row r="423" spans="1:12">
      <c r="A423" s="39" t="s">
        <v>79</v>
      </c>
      <c r="B423" s="84">
        <f>IF(INDEX(Overview!$C$8:$C$33,MATCH('OS&amp;E_FF&amp;E'!A423,Overview!$A$8:$A$33,0))=0,0,1)</f>
        <v>1</v>
      </c>
      <c r="C423" s="13" t="s">
        <v>620</v>
      </c>
      <c r="D423" s="39" t="s">
        <v>621</v>
      </c>
      <c r="E423" s="13">
        <v>0</v>
      </c>
      <c r="F423" s="39" t="s">
        <v>452</v>
      </c>
      <c r="G423" s="30">
        <v>72.95</v>
      </c>
      <c r="H423" s="30">
        <f t="shared" si="8"/>
        <v>0</v>
      </c>
      <c r="I423" s="39" t="s">
        <v>446</v>
      </c>
      <c r="J423" s="39"/>
      <c r="K423" s="39"/>
      <c r="L423" s="40" t="str">
        <f>INDEX(Overview!$B$8:$B$33,MATCH('OS&amp;E_FF&amp;E'!$A423,Overview!$A$8:$A$33,0))</f>
        <v>OS&amp;E Rooms</v>
      </c>
    </row>
    <row r="424" spans="1:12">
      <c r="A424" s="39" t="s">
        <v>79</v>
      </c>
      <c r="B424" s="84">
        <f>IF(INDEX(Overview!$C$8:$C$33,MATCH('OS&amp;E_FF&amp;E'!A424,Overview!$A$8:$A$33,0))=0,0,1)</f>
        <v>1</v>
      </c>
      <c r="C424" s="13" t="s">
        <v>622</v>
      </c>
      <c r="D424" s="13" t="s">
        <v>623</v>
      </c>
      <c r="E424" s="13">
        <v>85</v>
      </c>
      <c r="F424" s="13"/>
      <c r="G424" s="41">
        <v>45</v>
      </c>
      <c r="H424" s="30">
        <f t="shared" si="8"/>
        <v>3825</v>
      </c>
      <c r="I424" s="39"/>
      <c r="J424" s="39"/>
      <c r="K424" s="39"/>
      <c r="L424" s="40" t="str">
        <f>INDEX(Overview!$B$8:$B$33,MATCH('OS&amp;E_FF&amp;E'!$A424,Overview!$A$8:$A$33,0))</f>
        <v>OS&amp;E Rooms</v>
      </c>
    </row>
    <row r="425" spans="1:12">
      <c r="A425" s="39" t="s">
        <v>79</v>
      </c>
      <c r="B425" s="84">
        <f>IF(INDEX(Overview!$C$8:$C$33,MATCH('OS&amp;E_FF&amp;E'!A425,Overview!$A$8:$A$33,0))=0,0,1)</f>
        <v>1</v>
      </c>
      <c r="C425" s="13" t="s">
        <v>624</v>
      </c>
      <c r="D425" s="39"/>
      <c r="E425" s="13">
        <v>0</v>
      </c>
      <c r="F425" s="39" t="s">
        <v>31</v>
      </c>
      <c r="G425" s="30">
        <v>7.5</v>
      </c>
      <c r="H425" s="30">
        <f t="shared" si="8"/>
        <v>0</v>
      </c>
      <c r="I425" s="39"/>
      <c r="J425" s="39"/>
      <c r="K425" s="39"/>
      <c r="L425" s="40" t="str">
        <f>INDEX(Overview!$B$8:$B$33,MATCH('OS&amp;E_FF&amp;E'!$A425,Overview!$A$8:$A$33,0))</f>
        <v>OS&amp;E Rooms</v>
      </c>
    </row>
    <row r="426" spans="1:12">
      <c r="A426" s="39" t="s">
        <v>79</v>
      </c>
      <c r="B426" s="84">
        <f>IF(INDEX(Overview!$C$8:$C$33,MATCH('OS&amp;E_FF&amp;E'!A426,Overview!$A$8:$A$33,0))=0,0,1)</f>
        <v>1</v>
      </c>
      <c r="C426" s="13" t="s">
        <v>625</v>
      </c>
      <c r="D426" s="13" t="s">
        <v>360</v>
      </c>
      <c r="E426" s="13">
        <v>2</v>
      </c>
      <c r="F426" s="13" t="s">
        <v>454</v>
      </c>
      <c r="G426" s="41">
        <v>130</v>
      </c>
      <c r="H426" s="30">
        <f t="shared" si="8"/>
        <v>260</v>
      </c>
      <c r="I426" s="39"/>
      <c r="J426" s="39"/>
      <c r="K426" s="39"/>
      <c r="L426" s="40" t="str">
        <f>INDEX(Overview!$B$8:$B$33,MATCH('OS&amp;E_FF&amp;E'!$A426,Overview!$A$8:$A$33,0))</f>
        <v>OS&amp;E Rooms</v>
      </c>
    </row>
    <row r="427" spans="1:12">
      <c r="A427" s="39" t="s">
        <v>79</v>
      </c>
      <c r="B427" s="84">
        <f>IF(INDEX(Overview!$C$8:$C$33,MATCH('OS&amp;E_FF&amp;E'!A427,Overview!$A$8:$A$33,0))=0,0,1)</f>
        <v>1</v>
      </c>
      <c r="C427" s="13" t="s">
        <v>626</v>
      </c>
      <c r="D427" s="39"/>
      <c r="E427" s="13">
        <v>0</v>
      </c>
      <c r="F427" s="39"/>
      <c r="G427" s="30">
        <v>75</v>
      </c>
      <c r="H427" s="30">
        <f t="shared" si="8"/>
        <v>0</v>
      </c>
      <c r="I427" s="39"/>
      <c r="J427" s="39"/>
      <c r="K427" s="39"/>
      <c r="L427" s="40" t="str">
        <f>INDEX(Overview!$B$8:$B$33,MATCH('OS&amp;E_FF&amp;E'!$A427,Overview!$A$8:$A$33,0))</f>
        <v>OS&amp;E Rooms</v>
      </c>
    </row>
    <row r="428" spans="1:12">
      <c r="A428" s="39" t="s">
        <v>79</v>
      </c>
      <c r="B428" s="84">
        <f>IF(INDEX(Overview!$C$8:$C$33,MATCH('OS&amp;E_FF&amp;E'!A428,Overview!$A$8:$A$33,0))=0,0,1)</f>
        <v>1</v>
      </c>
      <c r="C428" s="13" t="s">
        <v>627</v>
      </c>
      <c r="D428" s="13" t="s">
        <v>628</v>
      </c>
      <c r="E428" s="13">
        <v>0</v>
      </c>
      <c r="F428" s="39" t="s">
        <v>542</v>
      </c>
      <c r="G428" s="30">
        <v>3</v>
      </c>
      <c r="H428" s="30">
        <f t="shared" si="8"/>
        <v>0</v>
      </c>
      <c r="I428" s="39"/>
      <c r="J428" s="39"/>
      <c r="K428" s="39"/>
      <c r="L428" s="40" t="str">
        <f>INDEX(Overview!$B$8:$B$33,MATCH('OS&amp;E_FF&amp;E'!$A428,Overview!$A$8:$A$33,0))</f>
        <v>OS&amp;E Rooms</v>
      </c>
    </row>
    <row r="429" spans="1:12">
      <c r="A429" s="39" t="s">
        <v>79</v>
      </c>
      <c r="B429" s="84">
        <f>IF(INDEX(Overview!$C$8:$C$33,MATCH('OS&amp;E_FF&amp;E'!A429,Overview!$A$8:$A$33,0))=0,0,1)</f>
        <v>1</v>
      </c>
      <c r="C429" s="13" t="s">
        <v>629</v>
      </c>
      <c r="D429" s="13" t="s">
        <v>630</v>
      </c>
      <c r="E429" s="13">
        <v>0</v>
      </c>
      <c r="F429" s="13" t="s">
        <v>454</v>
      </c>
      <c r="G429" s="41">
        <v>28</v>
      </c>
      <c r="H429" s="30">
        <f t="shared" si="8"/>
        <v>0</v>
      </c>
      <c r="I429" s="13" t="s">
        <v>631</v>
      </c>
      <c r="J429" s="39"/>
      <c r="K429" s="39"/>
      <c r="L429" s="40" t="str">
        <f>INDEX(Overview!$B$8:$B$33,MATCH('OS&amp;E_FF&amp;E'!$A429,Overview!$A$8:$A$33,0))</f>
        <v>OS&amp;E Rooms</v>
      </c>
    </row>
    <row r="430" spans="1:12">
      <c r="A430" s="39" t="s">
        <v>79</v>
      </c>
      <c r="B430" s="84">
        <f>IF(INDEX(Overview!$C$8:$C$33,MATCH('OS&amp;E_FF&amp;E'!A430,Overview!$A$8:$A$33,0))=0,0,1)</f>
        <v>1</v>
      </c>
      <c r="C430" s="13" t="s">
        <v>629</v>
      </c>
      <c r="D430" s="13" t="s">
        <v>630</v>
      </c>
      <c r="E430" s="13">
        <v>0</v>
      </c>
      <c r="F430" s="13" t="s">
        <v>632</v>
      </c>
      <c r="G430" s="41">
        <v>110</v>
      </c>
      <c r="H430" s="30">
        <f t="shared" si="8"/>
        <v>0</v>
      </c>
      <c r="I430" s="13" t="s">
        <v>633</v>
      </c>
      <c r="J430" s="39"/>
      <c r="K430" s="39"/>
      <c r="L430" s="40" t="str">
        <f>INDEX(Overview!$B$8:$B$33,MATCH('OS&amp;E_FF&amp;E'!$A430,Overview!$A$8:$A$33,0))</f>
        <v>OS&amp;E Rooms</v>
      </c>
    </row>
    <row r="431" spans="1:12">
      <c r="A431" s="39" t="s">
        <v>79</v>
      </c>
      <c r="B431" s="84">
        <f>IF(INDEX(Overview!$C$8:$C$33,MATCH('OS&amp;E_FF&amp;E'!A431,Overview!$A$8:$A$33,0))=0,0,1)</f>
        <v>1</v>
      </c>
      <c r="C431" s="13" t="s">
        <v>629</v>
      </c>
      <c r="D431" s="13" t="s">
        <v>630</v>
      </c>
      <c r="E431" s="13">
        <v>0</v>
      </c>
      <c r="F431" s="13" t="s">
        <v>632</v>
      </c>
      <c r="G431" s="41">
        <v>20</v>
      </c>
      <c r="H431" s="30">
        <f t="shared" si="8"/>
        <v>0</v>
      </c>
      <c r="I431" s="13" t="s">
        <v>634</v>
      </c>
      <c r="J431" s="39"/>
      <c r="K431" s="39"/>
      <c r="L431" s="40" t="str">
        <f>INDEX(Overview!$B$8:$B$33,MATCH('OS&amp;E_FF&amp;E'!$A431,Overview!$A$8:$A$33,0))</f>
        <v>OS&amp;E Rooms</v>
      </c>
    </row>
    <row r="432" spans="1:12">
      <c r="A432" s="39" t="s">
        <v>79</v>
      </c>
      <c r="B432" s="84">
        <f>IF(INDEX(Overview!$C$8:$C$33,MATCH('OS&amp;E_FF&amp;E'!A432,Overview!$A$8:$A$33,0))=0,0,1)</f>
        <v>1</v>
      </c>
      <c r="C432" s="13" t="s">
        <v>635</v>
      </c>
      <c r="D432" s="39" t="s">
        <v>360</v>
      </c>
      <c r="E432" s="13">
        <v>0</v>
      </c>
      <c r="F432" s="39" t="s">
        <v>454</v>
      </c>
      <c r="G432" s="30">
        <v>5</v>
      </c>
      <c r="H432" s="30">
        <f t="shared" si="8"/>
        <v>0</v>
      </c>
      <c r="I432" s="39"/>
      <c r="J432" s="39"/>
      <c r="K432" s="39"/>
      <c r="L432" s="40" t="str">
        <f>INDEX(Overview!$B$8:$B$33,MATCH('OS&amp;E_FF&amp;E'!$A432,Overview!$A$8:$A$33,0))</f>
        <v>OS&amp;E Rooms</v>
      </c>
    </row>
    <row r="433" spans="1:12">
      <c r="A433" s="39" t="s">
        <v>79</v>
      </c>
      <c r="B433" s="84">
        <f>IF(INDEX(Overview!$C$8:$C$33,MATCH('OS&amp;E_FF&amp;E'!A433,Overview!$A$8:$A$33,0))=0,0,1)</f>
        <v>1</v>
      </c>
      <c r="C433" s="36" t="s">
        <v>636</v>
      </c>
      <c r="D433" s="13"/>
      <c r="E433" s="13">
        <v>0</v>
      </c>
      <c r="F433" s="39"/>
      <c r="G433" s="30">
        <v>200</v>
      </c>
      <c r="H433" s="41">
        <f t="shared" si="8"/>
        <v>0</v>
      </c>
      <c r="I433" s="39"/>
      <c r="J433" s="39"/>
      <c r="K433" s="39"/>
      <c r="L433" s="40" t="str">
        <f>INDEX(Overview!$B$8:$B$33,MATCH('OS&amp;E_FF&amp;E'!$A433,Overview!$A$8:$A$33,0))</f>
        <v>OS&amp;E Rooms</v>
      </c>
    </row>
    <row r="434" spans="1:12">
      <c r="A434" s="39" t="s">
        <v>79</v>
      </c>
      <c r="B434" s="84">
        <f>IF(INDEX(Overview!$C$8:$C$33,MATCH('OS&amp;E_FF&amp;E'!A434,Overview!$A$8:$A$33,0))=0,0,1)</f>
        <v>1</v>
      </c>
      <c r="C434" s="36" t="s">
        <v>637</v>
      </c>
      <c r="D434" s="13"/>
      <c r="E434" s="13">
        <v>0</v>
      </c>
      <c r="F434" s="39" t="s">
        <v>31</v>
      </c>
      <c r="G434" s="30">
        <v>48</v>
      </c>
      <c r="H434" s="41">
        <f t="shared" si="8"/>
        <v>0</v>
      </c>
      <c r="I434" s="39"/>
      <c r="J434" s="39"/>
      <c r="K434" s="39"/>
      <c r="L434" s="40" t="str">
        <f>INDEX(Overview!$B$8:$B$33,MATCH('OS&amp;E_FF&amp;E'!$A434,Overview!$A$8:$A$33,0))</f>
        <v>OS&amp;E Rooms</v>
      </c>
    </row>
    <row r="435" spans="1:12">
      <c r="A435" s="39" t="s">
        <v>79</v>
      </c>
      <c r="B435" s="84">
        <f>IF(INDEX(Overview!$C$8:$C$33,MATCH('OS&amp;E_FF&amp;E'!A435,Overview!$A$8:$A$33,0))=0,0,1)</f>
        <v>1</v>
      </c>
      <c r="C435" s="36" t="s">
        <v>638</v>
      </c>
      <c r="D435" s="13"/>
      <c r="E435" s="13">
        <v>0</v>
      </c>
      <c r="F435" s="39" t="s">
        <v>31</v>
      </c>
      <c r="G435" s="30">
        <v>50</v>
      </c>
      <c r="H435" s="41">
        <f t="shared" si="8"/>
        <v>0</v>
      </c>
      <c r="I435" s="39"/>
      <c r="J435" s="39"/>
      <c r="K435" s="39"/>
      <c r="L435" s="40" t="str">
        <f>INDEX(Overview!$B$8:$B$33,MATCH('OS&amp;E_FF&amp;E'!$A435,Overview!$A$8:$A$33,0))</f>
        <v>OS&amp;E Rooms</v>
      </c>
    </row>
    <row r="436" spans="1:12">
      <c r="A436" s="39" t="s">
        <v>79</v>
      </c>
      <c r="B436" s="84">
        <f>IF(INDEX(Overview!$C$8:$C$33,MATCH('OS&amp;E_FF&amp;E'!A436,Overview!$A$8:$A$33,0))=0,0,1)</f>
        <v>1</v>
      </c>
      <c r="C436" s="36" t="s">
        <v>639</v>
      </c>
      <c r="D436" s="13"/>
      <c r="E436" s="13">
        <v>0</v>
      </c>
      <c r="F436" s="39" t="s">
        <v>31</v>
      </c>
      <c r="G436" s="30">
        <v>25</v>
      </c>
      <c r="H436" s="41">
        <f t="shared" si="8"/>
        <v>0</v>
      </c>
      <c r="I436" s="39"/>
      <c r="J436" s="39"/>
      <c r="K436" s="39"/>
      <c r="L436" s="40" t="str">
        <f>INDEX(Overview!$B$8:$B$33,MATCH('OS&amp;E_FF&amp;E'!$A436,Overview!$A$8:$A$33,0))</f>
        <v>OS&amp;E Rooms</v>
      </c>
    </row>
    <row r="437" spans="1:12">
      <c r="A437" s="39" t="s">
        <v>79</v>
      </c>
      <c r="B437" s="84">
        <f>IF(INDEX(Overview!$C$8:$C$33,MATCH('OS&amp;E_FF&amp;E'!A437,Overview!$A$8:$A$33,0))=0,0,1)</f>
        <v>1</v>
      </c>
      <c r="C437" s="36" t="s">
        <v>640</v>
      </c>
      <c r="D437" s="13"/>
      <c r="E437" s="13">
        <v>0</v>
      </c>
      <c r="F437" s="39" t="s">
        <v>31</v>
      </c>
      <c r="G437" s="30">
        <v>30</v>
      </c>
      <c r="H437" s="41">
        <f t="shared" si="8"/>
        <v>0</v>
      </c>
      <c r="I437" s="39"/>
      <c r="J437" s="39"/>
      <c r="K437" s="39"/>
      <c r="L437" s="40" t="str">
        <f>INDEX(Overview!$B$8:$B$33,MATCH('OS&amp;E_FF&amp;E'!$A437,Overview!$A$8:$A$33,0))</f>
        <v>OS&amp;E Rooms</v>
      </c>
    </row>
    <row r="438" spans="1:12">
      <c r="A438" s="39" t="s">
        <v>79</v>
      </c>
      <c r="B438" s="84">
        <f>IF(INDEX(Overview!$C$8:$C$33,MATCH('OS&amp;E_FF&amp;E'!A438,Overview!$A$8:$A$33,0))=0,0,1)</f>
        <v>1</v>
      </c>
      <c r="C438" s="36" t="s">
        <v>641</v>
      </c>
      <c r="D438" s="13"/>
      <c r="E438" s="13">
        <v>0</v>
      </c>
      <c r="F438" s="39" t="s">
        <v>31</v>
      </c>
      <c r="G438" s="30">
        <v>75</v>
      </c>
      <c r="H438" s="41">
        <f t="shared" si="8"/>
        <v>0</v>
      </c>
      <c r="I438" s="39"/>
      <c r="J438" s="39"/>
      <c r="K438" s="39"/>
      <c r="L438" s="40" t="str">
        <f>INDEX(Overview!$B$8:$B$33,MATCH('OS&amp;E_FF&amp;E'!$A438,Overview!$A$8:$A$33,0))</f>
        <v>OS&amp;E Rooms</v>
      </c>
    </row>
    <row r="439" spans="1:12">
      <c r="A439" s="39" t="s">
        <v>79</v>
      </c>
      <c r="B439" s="84">
        <f>IF(INDEX(Overview!$C$8:$C$33,MATCH('OS&amp;E_FF&amp;E'!A439,Overview!$A$8:$A$33,0))=0,0,1)</f>
        <v>1</v>
      </c>
      <c r="C439" s="35" t="s">
        <v>642</v>
      </c>
      <c r="D439" s="13"/>
      <c r="E439" s="13">
        <v>0</v>
      </c>
      <c r="F439" s="39" t="s">
        <v>31</v>
      </c>
      <c r="G439" s="30">
        <v>50</v>
      </c>
      <c r="H439" s="41">
        <f t="shared" si="8"/>
        <v>0</v>
      </c>
      <c r="I439" s="39"/>
      <c r="J439" s="39"/>
      <c r="K439" s="39"/>
      <c r="L439" s="40" t="str">
        <f>INDEX(Overview!$B$8:$B$33,MATCH('OS&amp;E_FF&amp;E'!$A439,Overview!$A$8:$A$33,0))</f>
        <v>OS&amp;E Rooms</v>
      </c>
    </row>
    <row r="440" spans="1:12">
      <c r="A440" s="39" t="s">
        <v>79</v>
      </c>
      <c r="B440" s="84">
        <f>IF(INDEX(Overview!$C$8:$C$33,MATCH('OS&amp;E_FF&amp;E'!A440,Overview!$A$8:$A$33,0))=0,0,1)</f>
        <v>1</v>
      </c>
      <c r="C440" s="13" t="s">
        <v>643</v>
      </c>
      <c r="D440" s="13"/>
      <c r="E440" s="13">
        <v>0</v>
      </c>
      <c r="F440" s="39" t="s">
        <v>31</v>
      </c>
      <c r="G440" s="30">
        <v>250</v>
      </c>
      <c r="H440" s="41">
        <f t="shared" si="8"/>
        <v>0</v>
      </c>
      <c r="I440" s="39"/>
      <c r="J440" s="39"/>
      <c r="K440" s="39"/>
      <c r="L440" s="40" t="str">
        <f>INDEX(Overview!$B$8:$B$33,MATCH('OS&amp;E_FF&amp;E'!$A440,Overview!$A$8:$A$33,0))</f>
        <v>OS&amp;E Rooms</v>
      </c>
    </row>
    <row r="441" spans="1:12">
      <c r="A441" s="39" t="s">
        <v>79</v>
      </c>
      <c r="B441" s="84">
        <f>IF(INDEX(Overview!$C$8:$C$33,MATCH('OS&amp;E_FF&amp;E'!A441,Overview!$A$8:$A$33,0))=0,0,1)</f>
        <v>1</v>
      </c>
      <c r="C441" s="13" t="s">
        <v>644</v>
      </c>
      <c r="D441" s="13"/>
      <c r="E441" s="13">
        <v>0</v>
      </c>
      <c r="F441" s="39" t="s">
        <v>31</v>
      </c>
      <c r="G441" s="30">
        <v>217</v>
      </c>
      <c r="H441" s="41">
        <f t="shared" si="8"/>
        <v>0</v>
      </c>
      <c r="I441" s="39"/>
      <c r="J441" s="39"/>
      <c r="K441" s="39"/>
      <c r="L441" s="40" t="str">
        <f>INDEX(Overview!$B$8:$B$33,MATCH('OS&amp;E_FF&amp;E'!$A441,Overview!$A$8:$A$33,0))</f>
        <v>OS&amp;E Rooms</v>
      </c>
    </row>
    <row r="442" spans="1:12">
      <c r="A442" s="39" t="s">
        <v>79</v>
      </c>
      <c r="B442" s="84">
        <f>IF(INDEX(Overview!$C$8:$C$33,MATCH('OS&amp;E_FF&amp;E'!A442,Overview!$A$8:$A$33,0))=0,0,1)</f>
        <v>1</v>
      </c>
      <c r="C442" s="13" t="s">
        <v>645</v>
      </c>
      <c r="D442" s="13"/>
      <c r="E442" s="13">
        <v>0</v>
      </c>
      <c r="F442" s="39" t="s">
        <v>31</v>
      </c>
      <c r="G442" s="30">
        <v>450</v>
      </c>
      <c r="H442" s="41">
        <f t="shared" si="8"/>
        <v>0</v>
      </c>
      <c r="I442" s="39"/>
      <c r="J442" s="39"/>
      <c r="K442" s="39"/>
      <c r="L442" s="40" t="str">
        <f>INDEX(Overview!$B$8:$B$33,MATCH('OS&amp;E_FF&amp;E'!$A442,Overview!$A$8:$A$33,0))</f>
        <v>OS&amp;E Rooms</v>
      </c>
    </row>
    <row r="443" spans="1:12">
      <c r="A443" s="39" t="s">
        <v>79</v>
      </c>
      <c r="B443" s="84">
        <f>IF(INDEX(Overview!$C$8:$C$33,MATCH('OS&amp;E_FF&amp;E'!A443,Overview!$A$8:$A$33,0))=0,0,1)</f>
        <v>1</v>
      </c>
      <c r="C443" s="13" t="s">
        <v>646</v>
      </c>
      <c r="D443" s="13" t="s">
        <v>647</v>
      </c>
      <c r="E443" s="13">
        <v>0</v>
      </c>
      <c r="F443" s="39" t="s">
        <v>31</v>
      </c>
      <c r="G443" s="30">
        <v>150</v>
      </c>
      <c r="H443" s="41">
        <f t="shared" si="8"/>
        <v>0</v>
      </c>
      <c r="I443" s="39"/>
      <c r="J443" s="39"/>
      <c r="K443" s="39"/>
      <c r="L443" s="40" t="str">
        <f>INDEX(Overview!$B$8:$B$33,MATCH('OS&amp;E_FF&amp;E'!$A443,Overview!$A$8:$A$33,0))</f>
        <v>OS&amp;E Rooms</v>
      </c>
    </row>
    <row r="444" spans="1:12">
      <c r="A444" s="39" t="s">
        <v>79</v>
      </c>
      <c r="B444" s="84">
        <f>IF(INDEX(Overview!$C$8:$C$33,MATCH('OS&amp;E_FF&amp;E'!A444,Overview!$A$8:$A$33,0))=0,0,1)</f>
        <v>1</v>
      </c>
      <c r="C444" s="13" t="s">
        <v>648</v>
      </c>
      <c r="D444" s="13"/>
      <c r="E444" s="13">
        <v>320</v>
      </c>
      <c r="F444" s="39"/>
      <c r="G444" s="30">
        <v>3</v>
      </c>
      <c r="H444" s="41">
        <f t="shared" si="8"/>
        <v>960</v>
      </c>
      <c r="I444" s="39"/>
      <c r="J444" s="39"/>
      <c r="K444" s="39"/>
      <c r="L444" s="40" t="str">
        <f>INDEX(Overview!$B$8:$B$33,MATCH('OS&amp;E_FF&amp;E'!$A444,Overview!$A$8:$A$33,0))</f>
        <v>OS&amp;E Rooms</v>
      </c>
    </row>
    <row r="445" spans="1:12">
      <c r="A445" s="39" t="s">
        <v>79</v>
      </c>
      <c r="B445" s="84">
        <f>IF(INDEX(Overview!$C$8:$C$33,MATCH('OS&amp;E_FF&amp;E'!A445,Overview!$A$8:$A$33,0))=0,0,1)</f>
        <v>1</v>
      </c>
      <c r="C445" s="13" t="s">
        <v>649</v>
      </c>
      <c r="D445" s="13"/>
      <c r="E445" s="13">
        <v>0</v>
      </c>
      <c r="F445" s="39" t="s">
        <v>650</v>
      </c>
      <c r="G445" s="30">
        <v>30</v>
      </c>
      <c r="H445" s="41">
        <f t="shared" si="8"/>
        <v>0</v>
      </c>
      <c r="I445" s="39"/>
      <c r="J445" s="39"/>
      <c r="K445" s="39"/>
      <c r="L445" s="40" t="str">
        <f>INDEX(Overview!$B$8:$B$33,MATCH('OS&amp;E_FF&amp;E'!$A445,Overview!$A$8:$A$33,0))</f>
        <v>OS&amp;E Rooms</v>
      </c>
    </row>
    <row r="446" spans="1:12">
      <c r="A446" s="39" t="s">
        <v>79</v>
      </c>
      <c r="B446" s="84">
        <f>IF(INDEX(Overview!$C$8:$C$33,MATCH('OS&amp;E_FF&amp;E'!A446,Overview!$A$8:$A$33,0))=0,0,1)</f>
        <v>1</v>
      </c>
      <c r="C446" s="13" t="s">
        <v>640</v>
      </c>
      <c r="D446" s="13" t="s">
        <v>647</v>
      </c>
      <c r="E446" s="13">
        <v>0</v>
      </c>
      <c r="F446" s="39" t="s">
        <v>31</v>
      </c>
      <c r="G446" s="30">
        <v>40</v>
      </c>
      <c r="H446" s="41">
        <f t="shared" si="8"/>
        <v>0</v>
      </c>
      <c r="I446" s="39"/>
      <c r="J446" s="39"/>
      <c r="K446" s="39"/>
      <c r="L446" s="40" t="str">
        <f>INDEX(Overview!$B$8:$B$33,MATCH('OS&amp;E_FF&amp;E'!$A446,Overview!$A$8:$A$33,0))</f>
        <v>OS&amp;E Rooms</v>
      </c>
    </row>
    <row r="447" spans="1:12">
      <c r="A447" s="39" t="s">
        <v>79</v>
      </c>
      <c r="B447" s="84">
        <f>IF(INDEX(Overview!$C$8:$C$33,MATCH('OS&amp;E_FF&amp;E'!A447,Overview!$A$8:$A$33,0))=0,0,1)</f>
        <v>1</v>
      </c>
      <c r="C447" s="13" t="s">
        <v>651</v>
      </c>
      <c r="D447" s="13"/>
      <c r="E447" s="13">
        <v>80</v>
      </c>
      <c r="F447" s="39"/>
      <c r="G447" s="30">
        <v>70</v>
      </c>
      <c r="H447" s="41">
        <f t="shared" si="8"/>
        <v>5600</v>
      </c>
      <c r="I447" s="39"/>
      <c r="J447" s="39"/>
      <c r="K447" s="39"/>
      <c r="L447" s="40" t="str">
        <f>INDEX(Overview!$B$8:$B$33,MATCH('OS&amp;E_FF&amp;E'!$A447,Overview!$A$8:$A$33,0))</f>
        <v>OS&amp;E Rooms</v>
      </c>
    </row>
    <row r="448" spans="1:12">
      <c r="A448" s="40" t="s">
        <v>79</v>
      </c>
      <c r="B448" s="87">
        <f>IF(INDEX(Overview!$C$8:$C$33,MATCH('OS&amp;E_FF&amp;E'!A448,Overview!$A$8:$A$33,0))=0,0,1)</f>
        <v>1</v>
      </c>
      <c r="C448" t="s">
        <v>652</v>
      </c>
      <c r="D448" s="13"/>
      <c r="E448" s="13">
        <v>0</v>
      </c>
      <c r="G448" s="72">
        <v>30</v>
      </c>
      <c r="H448" s="41">
        <f t="shared" si="8"/>
        <v>0</v>
      </c>
      <c r="L448" s="40" t="str">
        <f>INDEX(Overview!$B$8:$B$33,MATCH('OS&amp;E_FF&amp;E'!$A448,Overview!$A$8:$A$33,0))</f>
        <v>OS&amp;E Rooms</v>
      </c>
    </row>
    <row r="449" spans="1:18">
      <c r="A449" s="40" t="s">
        <v>79</v>
      </c>
      <c r="B449" s="87">
        <f>IF(INDEX(Overview!$C$8:$C$33,MATCH('OS&amp;E_FF&amp;E'!A449,Overview!$A$8:$A$33,0))=0,0,1)</f>
        <v>1</v>
      </c>
      <c r="C449" t="s">
        <v>653</v>
      </c>
      <c r="D449" s="13"/>
      <c r="E449">
        <v>0</v>
      </c>
      <c r="G449" s="72">
        <v>1058</v>
      </c>
      <c r="H449" s="41">
        <f t="shared" si="8"/>
        <v>0</v>
      </c>
      <c r="I449" s="40" t="s">
        <v>654</v>
      </c>
      <c r="L449" s="40" t="str">
        <f>INDEX(Overview!$B$8:$B$33,MATCH('OS&amp;E_FF&amp;E'!$A449,Overview!$A$8:$A$33,0))</f>
        <v>OS&amp;E Rooms</v>
      </c>
    </row>
    <row r="450" spans="1:18">
      <c r="A450" t="s">
        <v>82</v>
      </c>
      <c r="B450" s="88">
        <f>IF(INDEX(Overview!$C$8:$C$33,MATCH('OS&amp;E_FF&amp;E'!A450,Overview!$A$8:$A$33,0))=0,0,1)</f>
        <v>1</v>
      </c>
      <c r="C450" t="s">
        <v>655</v>
      </c>
      <c r="D450" s="13" t="s">
        <v>360</v>
      </c>
      <c r="E450">
        <v>0</v>
      </c>
      <c r="F450" t="s">
        <v>656</v>
      </c>
      <c r="G450" s="73">
        <v>339</v>
      </c>
      <c r="H450" s="30">
        <f t="shared" ref="H450:H481" si="9">E450*G450</f>
        <v>0</v>
      </c>
      <c r="I450" t="s">
        <v>657</v>
      </c>
      <c r="J450"/>
      <c r="K450"/>
      <c r="L450" s="40" t="str">
        <f>INDEX(Overview!$B$8:$B$33,MATCH('OS&amp;E_FF&amp;E'!$A450,Overview!$A$8:$A$33,0))</f>
        <v>Plants</v>
      </c>
      <c r="M450"/>
      <c r="N450"/>
      <c r="O450"/>
      <c r="P450"/>
      <c r="Q450"/>
      <c r="R450"/>
    </row>
    <row r="451" spans="1:18">
      <c r="A451" t="s">
        <v>85</v>
      </c>
      <c r="B451" s="88">
        <f>IF(INDEX(Overview!$C$8:$C$33,MATCH('OS&amp;E_FF&amp;E'!A451,Overview!$A$8:$A$33,0))=0,0,1)</f>
        <v>1</v>
      </c>
      <c r="C451" t="s">
        <v>658</v>
      </c>
      <c r="D451" s="13" t="s">
        <v>659</v>
      </c>
      <c r="E451">
        <v>100</v>
      </c>
      <c r="F451" t="s">
        <v>660</v>
      </c>
      <c r="G451" s="73">
        <v>12</v>
      </c>
      <c r="H451" s="30">
        <f t="shared" si="9"/>
        <v>1200</v>
      </c>
      <c r="I451" t="s">
        <v>661</v>
      </c>
      <c r="J451"/>
      <c r="K451"/>
      <c r="L451" s="40" t="str">
        <f>INDEX(Overview!$B$8:$B$33,MATCH('OS&amp;E_FF&amp;E'!$A451,Overview!$A$8:$A$33,0))</f>
        <v>Operational Equipment</v>
      </c>
      <c r="M451"/>
      <c r="N451"/>
      <c r="O451"/>
      <c r="P451"/>
      <c r="Q451"/>
      <c r="R451"/>
    </row>
    <row r="452" spans="1:18">
      <c r="A452" t="s">
        <v>85</v>
      </c>
      <c r="B452" s="88">
        <f>IF(INDEX(Overview!$C$8:$C$33,MATCH('OS&amp;E_FF&amp;E'!A452,Overview!$A$8:$A$33,0))=0,0,1)</f>
        <v>1</v>
      </c>
      <c r="C452" t="s">
        <v>658</v>
      </c>
      <c r="D452" s="13" t="s">
        <v>659</v>
      </c>
      <c r="E452">
        <v>1</v>
      </c>
      <c r="F452" t="s">
        <v>660</v>
      </c>
      <c r="G452" s="73">
        <v>10.9</v>
      </c>
      <c r="H452" s="30">
        <f t="shared" si="9"/>
        <v>10.9</v>
      </c>
      <c r="I452" t="s">
        <v>662</v>
      </c>
      <c r="J452"/>
      <c r="K452"/>
      <c r="L452" s="40" t="str">
        <f>INDEX(Overview!$B$8:$B$33,MATCH('OS&amp;E_FF&amp;E'!$A452,Overview!$A$8:$A$33,0))</f>
        <v>Operational Equipment</v>
      </c>
      <c r="M452"/>
      <c r="N452"/>
      <c r="O452"/>
      <c r="P452"/>
      <c r="Q452"/>
      <c r="R452"/>
    </row>
    <row r="453" spans="1:18">
      <c r="A453" t="s">
        <v>85</v>
      </c>
      <c r="B453" s="88">
        <f>IF(INDEX(Overview!$C$8:$C$33,MATCH('OS&amp;E_FF&amp;E'!A453,Overview!$A$8:$A$33,0))=0,0,1)</f>
        <v>1</v>
      </c>
      <c r="C453" t="s">
        <v>663</v>
      </c>
      <c r="D453" s="13" t="s">
        <v>659</v>
      </c>
      <c r="E453">
        <v>8</v>
      </c>
      <c r="F453" t="s">
        <v>660</v>
      </c>
      <c r="G453" s="73">
        <v>79</v>
      </c>
      <c r="H453" s="30">
        <f t="shared" si="9"/>
        <v>632</v>
      </c>
      <c r="I453" t="s">
        <v>664</v>
      </c>
      <c r="J453"/>
      <c r="K453"/>
      <c r="L453" s="40" t="str">
        <f>INDEX(Overview!$B$8:$B$33,MATCH('OS&amp;E_FF&amp;E'!$A453,Overview!$A$8:$A$33,0))</f>
        <v>Operational Equipment</v>
      </c>
      <c r="M453"/>
      <c r="N453"/>
      <c r="O453"/>
      <c r="P453"/>
      <c r="Q453"/>
      <c r="R453"/>
    </row>
    <row r="454" spans="1:18">
      <c r="A454" t="s">
        <v>85</v>
      </c>
      <c r="B454" s="88">
        <f>IF(INDEX(Overview!$C$8:$C$33,MATCH('OS&amp;E_FF&amp;E'!A454,Overview!$A$8:$A$33,0))=0,0,1)</f>
        <v>1</v>
      </c>
      <c r="C454" t="s">
        <v>663</v>
      </c>
      <c r="D454" s="13" t="s">
        <v>659</v>
      </c>
      <c r="E454">
        <v>1</v>
      </c>
      <c r="F454" t="s">
        <v>660</v>
      </c>
      <c r="G454" s="73">
        <v>79</v>
      </c>
      <c r="H454" s="30">
        <f t="shared" si="9"/>
        <v>79</v>
      </c>
      <c r="I454" t="s">
        <v>665</v>
      </c>
      <c r="J454"/>
      <c r="K454"/>
      <c r="L454" s="40" t="str">
        <f>INDEX(Overview!$B$8:$B$33,MATCH('OS&amp;E_FF&amp;E'!$A454,Overview!$A$8:$A$33,0))</f>
        <v>Operational Equipment</v>
      </c>
      <c r="M454"/>
      <c r="N454"/>
      <c r="O454"/>
      <c r="P454"/>
      <c r="Q454"/>
      <c r="R454"/>
    </row>
    <row r="455" spans="1:18">
      <c r="A455" t="s">
        <v>85</v>
      </c>
      <c r="B455" s="88">
        <f>IF(INDEX(Overview!$C$8:$C$33,MATCH('OS&amp;E_FF&amp;E'!A455,Overview!$A$8:$A$33,0))=0,0,1)</f>
        <v>1</v>
      </c>
      <c r="C455" t="s">
        <v>666</v>
      </c>
      <c r="D455" s="13" t="s">
        <v>659</v>
      </c>
      <c r="E455">
        <v>100</v>
      </c>
      <c r="F455" t="s">
        <v>660</v>
      </c>
      <c r="G455" s="73">
        <v>12</v>
      </c>
      <c r="H455" s="30">
        <f t="shared" si="9"/>
        <v>1200</v>
      </c>
      <c r="I455" t="s">
        <v>661</v>
      </c>
      <c r="J455"/>
      <c r="K455"/>
      <c r="L455" s="40" t="str">
        <f>INDEX(Overview!$B$8:$B$33,MATCH('OS&amp;E_FF&amp;E'!$A455,Overview!$A$8:$A$33,0))</f>
        <v>Operational Equipment</v>
      </c>
      <c r="M455"/>
      <c r="N455"/>
      <c r="O455"/>
      <c r="P455"/>
      <c r="Q455"/>
      <c r="R455"/>
    </row>
    <row r="456" spans="1:18">
      <c r="A456" t="s">
        <v>85</v>
      </c>
      <c r="B456" s="88">
        <f>IF(INDEX(Overview!$C$8:$C$33,MATCH('OS&amp;E_FF&amp;E'!A456,Overview!$A$8:$A$33,0))=0,0,1)</f>
        <v>1</v>
      </c>
      <c r="C456" t="s">
        <v>666</v>
      </c>
      <c r="D456" s="13" t="s">
        <v>659</v>
      </c>
      <c r="E456">
        <v>4</v>
      </c>
      <c r="F456" t="s">
        <v>660</v>
      </c>
      <c r="G456" s="73">
        <v>11.9</v>
      </c>
      <c r="H456" s="30">
        <f t="shared" si="9"/>
        <v>47.6</v>
      </c>
      <c r="I456" t="s">
        <v>662</v>
      </c>
      <c r="J456"/>
      <c r="K456"/>
      <c r="L456" s="40" t="str">
        <f>INDEX(Overview!$B$8:$B$33,MATCH('OS&amp;E_FF&amp;E'!$A456,Overview!$A$8:$A$33,0))</f>
        <v>Operational Equipment</v>
      </c>
      <c r="M456"/>
      <c r="N456"/>
      <c r="O456"/>
      <c r="P456"/>
      <c r="Q456"/>
      <c r="R456"/>
    </row>
    <row r="457" spans="1:18">
      <c r="A457" t="s">
        <v>85</v>
      </c>
      <c r="B457" s="88">
        <f>IF(INDEX(Overview!$C$8:$C$33,MATCH('OS&amp;E_FF&amp;E'!A457,Overview!$A$8:$A$33,0))=0,0,1)</f>
        <v>1</v>
      </c>
      <c r="C457" t="s">
        <v>667</v>
      </c>
      <c r="D457" s="13" t="s">
        <v>659</v>
      </c>
      <c r="E457">
        <v>15</v>
      </c>
      <c r="F457" t="s">
        <v>660</v>
      </c>
      <c r="G457" s="73">
        <v>95</v>
      </c>
      <c r="H457" s="30">
        <f t="shared" si="9"/>
        <v>1425</v>
      </c>
      <c r="I457" t="s">
        <v>665</v>
      </c>
      <c r="J457"/>
      <c r="K457"/>
      <c r="L457" s="40" t="str">
        <f>INDEX(Overview!$B$8:$B$33,MATCH('OS&amp;E_FF&amp;E'!$A457,Overview!$A$8:$A$33,0))</f>
        <v>Operational Equipment</v>
      </c>
      <c r="M457"/>
      <c r="N457"/>
      <c r="O457"/>
      <c r="P457"/>
      <c r="Q457"/>
      <c r="R457"/>
    </row>
    <row r="458" spans="1:18">
      <c r="A458" t="s">
        <v>85</v>
      </c>
      <c r="B458" s="88">
        <f>IF(INDEX(Overview!$C$8:$C$33,MATCH('OS&amp;E_FF&amp;E'!A458,Overview!$A$8:$A$33,0))=0,0,1)</f>
        <v>1</v>
      </c>
      <c r="C458" t="s">
        <v>668</v>
      </c>
      <c r="D458" s="13" t="s">
        <v>623</v>
      </c>
      <c r="E458">
        <v>2</v>
      </c>
      <c r="F458" t="s">
        <v>669</v>
      </c>
      <c r="G458" s="73">
        <v>2500</v>
      </c>
      <c r="H458" s="30">
        <f t="shared" si="9"/>
        <v>5000</v>
      </c>
      <c r="I458"/>
      <c r="J458"/>
      <c r="K458"/>
      <c r="L458" s="40" t="str">
        <f>INDEX(Overview!$B$8:$B$33,MATCH('OS&amp;E_FF&amp;E'!$A458,Overview!$A$8:$A$33,0))</f>
        <v>Operational Equipment</v>
      </c>
      <c r="M458"/>
      <c r="N458"/>
      <c r="O458"/>
      <c r="P458"/>
      <c r="Q458"/>
      <c r="R458"/>
    </row>
    <row r="459" spans="1:18">
      <c r="A459" t="s">
        <v>85</v>
      </c>
      <c r="B459" s="88">
        <f>IF(INDEX(Overview!$C$8:$C$33,MATCH('OS&amp;E_FF&amp;E'!A459,Overview!$A$8:$A$33,0))=0,0,1)</f>
        <v>1</v>
      </c>
      <c r="C459" t="s">
        <v>670</v>
      </c>
      <c r="D459" s="13" t="s">
        <v>659</v>
      </c>
      <c r="E459">
        <v>100</v>
      </c>
      <c r="F459" t="s">
        <v>660</v>
      </c>
      <c r="G459" s="73">
        <v>12</v>
      </c>
      <c r="H459" s="30">
        <f t="shared" si="9"/>
        <v>1200</v>
      </c>
      <c r="I459" t="s">
        <v>662</v>
      </c>
      <c r="J459"/>
      <c r="K459"/>
      <c r="L459" s="40" t="str">
        <f>INDEX(Overview!$B$8:$B$33,MATCH('OS&amp;E_FF&amp;E'!$A459,Overview!$A$8:$A$33,0))</f>
        <v>Operational Equipment</v>
      </c>
      <c r="M459"/>
      <c r="N459"/>
      <c r="O459"/>
      <c r="P459"/>
      <c r="Q459"/>
      <c r="R459"/>
    </row>
    <row r="460" spans="1:18">
      <c r="A460" t="s">
        <v>85</v>
      </c>
      <c r="B460" s="88">
        <f>IF(INDEX(Overview!$C$8:$C$33,MATCH('OS&amp;E_FF&amp;E'!A460,Overview!$A$8:$A$33,0))=0,0,1)</f>
        <v>1</v>
      </c>
      <c r="C460" t="s">
        <v>671</v>
      </c>
      <c r="D460" s="13" t="s">
        <v>659</v>
      </c>
      <c r="E460">
        <v>100</v>
      </c>
      <c r="F460" t="s">
        <v>660</v>
      </c>
      <c r="G460" s="73">
        <v>12</v>
      </c>
      <c r="H460" s="30">
        <f t="shared" si="9"/>
        <v>1200</v>
      </c>
      <c r="I460" t="s">
        <v>661</v>
      </c>
      <c r="J460"/>
      <c r="K460"/>
      <c r="L460" s="40" t="str">
        <f>INDEX(Overview!$B$8:$B$33,MATCH('OS&amp;E_FF&amp;E'!$A460,Overview!$A$8:$A$33,0))</f>
        <v>Operational Equipment</v>
      </c>
      <c r="M460"/>
      <c r="N460"/>
      <c r="O460"/>
      <c r="P460"/>
      <c r="Q460"/>
      <c r="R460"/>
    </row>
    <row r="461" spans="1:18">
      <c r="A461" t="s">
        <v>85</v>
      </c>
      <c r="B461" s="88">
        <f>IF(INDEX(Overview!$C$8:$C$33,MATCH('OS&amp;E_FF&amp;E'!A461,Overview!$A$8:$A$33,0))=0,0,1)</f>
        <v>1</v>
      </c>
      <c r="C461" t="s">
        <v>672</v>
      </c>
      <c r="D461" s="13" t="s">
        <v>659</v>
      </c>
      <c r="E461">
        <v>8</v>
      </c>
      <c r="F461" t="s">
        <v>660</v>
      </c>
      <c r="G461" s="73">
        <v>75</v>
      </c>
      <c r="H461" s="30">
        <f t="shared" si="9"/>
        <v>600</v>
      </c>
      <c r="I461" t="s">
        <v>664</v>
      </c>
      <c r="J461"/>
      <c r="K461"/>
      <c r="L461" s="40" t="str">
        <f>INDEX(Overview!$B$8:$B$33,MATCH('OS&amp;E_FF&amp;E'!$A461,Overview!$A$8:$A$33,0))</f>
        <v>Operational Equipment</v>
      </c>
      <c r="M461"/>
      <c r="N461"/>
      <c r="O461"/>
      <c r="P461"/>
      <c r="Q461"/>
      <c r="R461"/>
    </row>
    <row r="462" spans="1:18">
      <c r="A462" t="s">
        <v>85</v>
      </c>
      <c r="B462" s="88">
        <f>IF(INDEX(Overview!$C$8:$C$33,MATCH('OS&amp;E_FF&amp;E'!A462,Overview!$A$8:$A$33,0))=0,0,1)</f>
        <v>1</v>
      </c>
      <c r="C462" t="s">
        <v>626</v>
      </c>
      <c r="D462" s="13" t="s">
        <v>659</v>
      </c>
      <c r="E462">
        <v>30</v>
      </c>
      <c r="F462" t="s">
        <v>660</v>
      </c>
      <c r="G462" s="73">
        <v>10.8</v>
      </c>
      <c r="H462" s="30">
        <f t="shared" si="9"/>
        <v>324</v>
      </c>
      <c r="I462" t="s">
        <v>673</v>
      </c>
      <c r="J462"/>
      <c r="K462"/>
      <c r="L462" s="40" t="str">
        <f>INDEX(Overview!$B$8:$B$33,MATCH('OS&amp;E_FF&amp;E'!$A462,Overview!$A$8:$A$33,0))</f>
        <v>Operational Equipment</v>
      </c>
      <c r="M462"/>
      <c r="N462"/>
      <c r="O462"/>
      <c r="P462"/>
      <c r="Q462"/>
      <c r="R462"/>
    </row>
    <row r="463" spans="1:18">
      <c r="A463" t="s">
        <v>85</v>
      </c>
      <c r="B463" s="88">
        <f>IF(INDEX(Overview!$C$8:$C$33,MATCH('OS&amp;E_FF&amp;E'!A463,Overview!$A$8:$A$33,0))=0,0,1)</f>
        <v>1</v>
      </c>
      <c r="C463" t="s">
        <v>674</v>
      </c>
      <c r="D463" s="13" t="s">
        <v>675</v>
      </c>
      <c r="E463">
        <v>2</v>
      </c>
      <c r="F463" t="s">
        <v>463</v>
      </c>
      <c r="G463" s="72">
        <v>500</v>
      </c>
      <c r="H463" s="30">
        <f t="shared" si="9"/>
        <v>1000</v>
      </c>
      <c r="I463" t="s">
        <v>676</v>
      </c>
      <c r="L463" s="40" t="str">
        <f>INDEX(Overview!$B$8:$B$33,MATCH('OS&amp;E_FF&amp;E'!$A463,Overview!$A$8:$A$33,0))</f>
        <v>Operational Equipment</v>
      </c>
    </row>
    <row r="464" spans="1:18">
      <c r="A464" t="s">
        <v>85</v>
      </c>
      <c r="B464" s="88">
        <f>IF(INDEX(Overview!$C$8:$C$33,MATCH('OS&amp;E_FF&amp;E'!A464,Overview!$A$8:$A$33,0))=0,0,1)</f>
        <v>1</v>
      </c>
      <c r="C464" t="s">
        <v>677</v>
      </c>
      <c r="D464" s="13" t="s">
        <v>659</v>
      </c>
      <c r="E464">
        <v>100</v>
      </c>
      <c r="F464" t="s">
        <v>660</v>
      </c>
      <c r="G464" s="73">
        <v>12</v>
      </c>
      <c r="H464" s="30">
        <f t="shared" si="9"/>
        <v>1200</v>
      </c>
      <c r="I464" t="s">
        <v>661</v>
      </c>
      <c r="J464"/>
      <c r="K464"/>
      <c r="L464" s="40" t="str">
        <f>INDEX(Overview!$B$8:$B$33,MATCH('OS&amp;E_FF&amp;E'!$A464,Overview!$A$8:$A$33,0))</f>
        <v>Operational Equipment</v>
      </c>
      <c r="M464"/>
      <c r="N464"/>
      <c r="O464"/>
      <c r="P464"/>
      <c r="Q464"/>
      <c r="R464"/>
    </row>
    <row r="465" spans="1:18">
      <c r="A465" t="s">
        <v>85</v>
      </c>
      <c r="B465" s="88">
        <f>IF(INDEX(Overview!$C$8:$C$33,MATCH('OS&amp;E_FF&amp;E'!A465,Overview!$A$8:$A$33,0))=0,0,1)</f>
        <v>1</v>
      </c>
      <c r="C465" t="s">
        <v>678</v>
      </c>
      <c r="D465" s="13" t="s">
        <v>659</v>
      </c>
      <c r="E465">
        <v>8</v>
      </c>
      <c r="F465" t="s">
        <v>660</v>
      </c>
      <c r="G465" s="73">
        <v>75</v>
      </c>
      <c r="H465" s="30">
        <f t="shared" si="9"/>
        <v>600</v>
      </c>
      <c r="I465" t="s">
        <v>664</v>
      </c>
      <c r="J465"/>
      <c r="K465"/>
      <c r="L465" s="40" t="str">
        <f>INDEX(Overview!$B$8:$B$33,MATCH('OS&amp;E_FF&amp;E'!$A465,Overview!$A$8:$A$33,0))</f>
        <v>Operational Equipment</v>
      </c>
      <c r="M465"/>
      <c r="N465"/>
      <c r="O465"/>
      <c r="P465"/>
      <c r="Q465"/>
      <c r="R465"/>
    </row>
    <row r="466" spans="1:18">
      <c r="A466" t="s">
        <v>85</v>
      </c>
      <c r="B466" s="88">
        <f>IF(INDEX(Overview!$C$8:$C$33,MATCH('OS&amp;E_FF&amp;E'!A466,Overview!$A$8:$A$33,0))=0,0,1)</f>
        <v>1</v>
      </c>
      <c r="C466" t="s">
        <v>679</v>
      </c>
      <c r="D466" s="13" t="s">
        <v>532</v>
      </c>
      <c r="E466">
        <v>1</v>
      </c>
      <c r="F466" t="s">
        <v>463</v>
      </c>
      <c r="G466" s="73">
        <v>400</v>
      </c>
      <c r="H466" s="30">
        <f t="shared" si="9"/>
        <v>400</v>
      </c>
      <c r="L466" s="40" t="str">
        <f>INDEX(Overview!$B$8:$B$33,MATCH('OS&amp;E_FF&amp;E'!$A466,Overview!$A$8:$A$33,0))</f>
        <v>Operational Equipment</v>
      </c>
    </row>
    <row r="467" spans="1:18" ht="13.5" customHeight="1">
      <c r="A467" t="s">
        <v>85</v>
      </c>
      <c r="B467" s="88">
        <f>IF(INDEX(Overview!$C$8:$C$33,MATCH('OS&amp;E_FF&amp;E'!A467,Overview!$A$8:$A$33,0))=0,0,1)</f>
        <v>1</v>
      </c>
      <c r="C467" t="s">
        <v>680</v>
      </c>
      <c r="D467" s="13" t="s">
        <v>681</v>
      </c>
      <c r="E467">
        <v>20</v>
      </c>
      <c r="F467" t="s">
        <v>682</v>
      </c>
      <c r="G467" s="73">
        <v>6.6</v>
      </c>
      <c r="H467" s="30">
        <f t="shared" si="9"/>
        <v>132</v>
      </c>
      <c r="I467"/>
      <c r="J467"/>
      <c r="K467"/>
      <c r="L467" s="40" t="str">
        <f>INDEX(Overview!$B$8:$B$33,MATCH('OS&amp;E_FF&amp;E'!$A467,Overview!$A$8:$A$33,0))</f>
        <v>Operational Equipment</v>
      </c>
      <c r="M467"/>
      <c r="N467"/>
      <c r="O467"/>
      <c r="P467"/>
      <c r="Q467"/>
      <c r="R467"/>
    </row>
    <row r="468" spans="1:18">
      <c r="A468" t="s">
        <v>88</v>
      </c>
      <c r="B468" s="88">
        <f>IF(INDEX(Overview!$C$8:$C$33,MATCH('OS&amp;E_FF&amp;E'!A468,Overview!$A$8:$A$33,0))=0,0,1)</f>
        <v>1</v>
      </c>
      <c r="C468" t="s">
        <v>683</v>
      </c>
      <c r="D468" s="13" t="s">
        <v>462</v>
      </c>
      <c r="E468">
        <v>1</v>
      </c>
      <c r="F468" t="s">
        <v>463</v>
      </c>
      <c r="G468" s="73">
        <v>1500</v>
      </c>
      <c r="H468" s="30">
        <f t="shared" si="9"/>
        <v>1500</v>
      </c>
      <c r="I468"/>
      <c r="J468"/>
      <c r="K468"/>
      <c r="L468" s="40" t="str">
        <f>INDEX(Overview!$B$8:$B$33,MATCH('OS&amp;E_FF&amp;E'!$A468,Overview!$A$8:$A$33,0))</f>
        <v>Health &amp; safety</v>
      </c>
      <c r="M468"/>
      <c r="N468"/>
      <c r="O468"/>
      <c r="P468"/>
      <c r="Q468"/>
      <c r="R468"/>
    </row>
    <row r="469" spans="1:18">
      <c r="A469" s="40" t="s">
        <v>88</v>
      </c>
      <c r="B469" s="87">
        <f>IF(INDEX(Overview!$C$8:$C$33,MATCH('OS&amp;E_FF&amp;E'!A469,Overview!$A$8:$A$33,0))=0,0,1)</f>
        <v>1</v>
      </c>
      <c r="C469" t="s">
        <v>684</v>
      </c>
      <c r="D469" s="13" t="s">
        <v>685</v>
      </c>
      <c r="E469">
        <v>8</v>
      </c>
      <c r="F469" t="s">
        <v>686</v>
      </c>
      <c r="G469" s="73">
        <v>14</v>
      </c>
      <c r="H469" s="30">
        <f t="shared" si="9"/>
        <v>112</v>
      </c>
      <c r="I469" t="s">
        <v>687</v>
      </c>
      <c r="L469" s="40" t="str">
        <f>INDEX(Overview!$B$8:$B$33,MATCH('OS&amp;E_FF&amp;E'!$A469,Overview!$A$8:$A$33,0))</f>
        <v>Health &amp; safety</v>
      </c>
    </row>
    <row r="470" spans="1:18">
      <c r="A470" s="40" t="s">
        <v>88</v>
      </c>
      <c r="B470" s="87">
        <f>IF(INDEX(Overview!$C$8:$C$33,MATCH('OS&amp;E_FF&amp;E'!A470,Overview!$A$8:$A$33,0))=0,0,1)</f>
        <v>1</v>
      </c>
      <c r="C470" t="s">
        <v>688</v>
      </c>
      <c r="D470" s="39" t="s">
        <v>689</v>
      </c>
      <c r="E470" s="40">
        <v>3</v>
      </c>
      <c r="F470" s="40" t="s">
        <v>686</v>
      </c>
      <c r="G470" s="72">
        <v>150</v>
      </c>
      <c r="H470" s="30">
        <f t="shared" si="9"/>
        <v>450</v>
      </c>
      <c r="L470" s="40" t="str">
        <f>INDEX(Overview!$B$8:$B$33,MATCH('OS&amp;E_FF&amp;E'!$A470,Overview!$A$8:$A$33,0))</f>
        <v>Health &amp; safety</v>
      </c>
    </row>
    <row r="471" spans="1:18">
      <c r="A471" s="40" t="s">
        <v>88</v>
      </c>
      <c r="B471" s="87">
        <f>IF(INDEX(Overview!$C$8:$C$33,MATCH('OS&amp;E_FF&amp;E'!A471,Overview!$A$8:$A$33,0))=0,0,1)</f>
        <v>1</v>
      </c>
      <c r="C471" t="s">
        <v>690</v>
      </c>
      <c r="D471" s="39" t="s">
        <v>689</v>
      </c>
      <c r="E471" s="40">
        <v>5</v>
      </c>
      <c r="F471" s="40" t="s">
        <v>686</v>
      </c>
      <c r="G471" s="72">
        <v>100</v>
      </c>
      <c r="H471" s="30">
        <f t="shared" si="9"/>
        <v>500</v>
      </c>
      <c r="L471" s="40" t="str">
        <f>INDEX(Overview!$B$8:$B$33,MATCH('OS&amp;E_FF&amp;E'!$A471,Overview!$A$8:$A$33,0))</f>
        <v>Health &amp; safety</v>
      </c>
    </row>
    <row r="472" spans="1:18">
      <c r="A472" t="s">
        <v>28</v>
      </c>
      <c r="B472" s="88">
        <f>IF(INDEX(Overview!$C$8:$C$33,MATCH('OS&amp;E_FF&amp;E'!A472,Overview!$A$8:$A$33,0))=0,0,1)</f>
        <v>0</v>
      </c>
      <c r="C472" s="62" t="s">
        <v>471</v>
      </c>
      <c r="D472" s="13"/>
      <c r="E472">
        <v>0</v>
      </c>
      <c r="G472" s="72">
        <v>392</v>
      </c>
      <c r="H472" s="41">
        <f t="shared" si="9"/>
        <v>0</v>
      </c>
      <c r="L472" s="40" t="str">
        <f>INDEX(Overview!$B$8:$B$33,MATCH('OS&amp;E_FF&amp;E'!$A472,Overview!$A$8:$A$33,0))</f>
        <v>Loose Furniture rooms</v>
      </c>
    </row>
    <row r="473" spans="1:18">
      <c r="A473" t="s">
        <v>28</v>
      </c>
      <c r="B473" s="88">
        <f>IF(INDEX(Overview!$C$8:$C$33,MATCH('OS&amp;E_FF&amp;E'!A473,Overview!$A$8:$A$33,0))=0,0,1)</f>
        <v>0</v>
      </c>
      <c r="C473" s="62" t="s">
        <v>691</v>
      </c>
      <c r="D473" s="13"/>
      <c r="E473">
        <v>0</v>
      </c>
      <c r="G473" s="72">
        <v>350</v>
      </c>
      <c r="H473" s="41">
        <f t="shared" si="9"/>
        <v>0</v>
      </c>
      <c r="L473" s="40" t="str">
        <f>INDEX(Overview!$B$8:$B$33,MATCH('OS&amp;E_FF&amp;E'!$A473,Overview!$A$8:$A$33,0))</f>
        <v>Loose Furniture rooms</v>
      </c>
    </row>
    <row r="474" spans="1:18">
      <c r="A474" t="s">
        <v>28</v>
      </c>
      <c r="B474" s="88">
        <f>IF(INDEX(Overview!$C$8:$C$33,MATCH('OS&amp;E_FF&amp;E'!A474,Overview!$A$8:$A$33,0))=0,0,1)</f>
        <v>0</v>
      </c>
      <c r="C474" s="62" t="s">
        <v>692</v>
      </c>
      <c r="D474" s="13"/>
      <c r="E474">
        <v>0</v>
      </c>
      <c r="G474" s="72">
        <v>250</v>
      </c>
      <c r="H474" s="41">
        <f t="shared" si="9"/>
        <v>0</v>
      </c>
      <c r="L474" s="40" t="str">
        <f>INDEX(Overview!$B$8:$B$33,MATCH('OS&amp;E_FF&amp;E'!$A474,Overview!$A$8:$A$33,0))</f>
        <v>Loose Furniture rooms</v>
      </c>
    </row>
    <row r="475" spans="1:18">
      <c r="A475" t="s">
        <v>28</v>
      </c>
      <c r="B475" s="88">
        <f>IF(INDEX(Overview!$C$8:$C$33,MATCH('OS&amp;E_FF&amp;E'!A475,Overview!$A$8:$A$33,0))=0,0,1)</f>
        <v>0</v>
      </c>
      <c r="C475" s="62" t="s">
        <v>693</v>
      </c>
      <c r="D475" s="13"/>
      <c r="E475">
        <v>0</v>
      </c>
      <c r="G475" s="72">
        <v>350</v>
      </c>
      <c r="H475" s="41">
        <f t="shared" si="9"/>
        <v>0</v>
      </c>
      <c r="L475" s="40" t="str">
        <f>INDEX(Overview!$B$8:$B$33,MATCH('OS&amp;E_FF&amp;E'!$A475,Overview!$A$8:$A$33,0))</f>
        <v>Loose Furniture rooms</v>
      </c>
    </row>
    <row r="476" spans="1:18">
      <c r="A476" t="s">
        <v>28</v>
      </c>
      <c r="B476" s="88">
        <f>IF(INDEX(Overview!$C$8:$C$33,MATCH('OS&amp;E_FF&amp;E'!A476,Overview!$A$8:$A$33,0))=0,0,1)</f>
        <v>0</v>
      </c>
      <c r="C476" s="62" t="s">
        <v>694</v>
      </c>
      <c r="D476" s="13"/>
      <c r="E476">
        <v>0</v>
      </c>
      <c r="G476" s="72">
        <v>495</v>
      </c>
      <c r="H476" s="41">
        <f t="shared" si="9"/>
        <v>0</v>
      </c>
      <c r="L476" s="40" t="str">
        <f>INDEX(Overview!$B$8:$B$33,MATCH('OS&amp;E_FF&amp;E'!$A476,Overview!$A$8:$A$33,0))</f>
        <v>Loose Furniture rooms</v>
      </c>
    </row>
    <row r="477" spans="1:18">
      <c r="A477" t="s">
        <v>28</v>
      </c>
      <c r="B477" s="88">
        <f>IF(INDEX(Overview!$C$8:$C$33,MATCH('OS&amp;E_FF&amp;E'!A477,Overview!$A$8:$A$33,0))=0,0,1)</f>
        <v>0</v>
      </c>
      <c r="C477" s="62" t="s">
        <v>695</v>
      </c>
      <c r="D477" s="13"/>
      <c r="E477">
        <v>0</v>
      </c>
      <c r="G477" s="72">
        <v>495</v>
      </c>
      <c r="H477" s="41">
        <f t="shared" si="9"/>
        <v>0</v>
      </c>
      <c r="L477" s="40" t="str">
        <f>INDEX(Overview!$B$8:$B$33,MATCH('OS&amp;E_FF&amp;E'!$A477,Overview!$A$8:$A$33,0))</f>
        <v>Loose Furniture rooms</v>
      </c>
    </row>
    <row r="478" spans="1:18">
      <c r="A478" t="s">
        <v>28</v>
      </c>
      <c r="B478" s="88">
        <f>IF(INDEX(Overview!$C$8:$C$33,MATCH('OS&amp;E_FF&amp;E'!A478,Overview!$A$8:$A$33,0))=0,0,1)</f>
        <v>0</v>
      </c>
      <c r="C478" s="62" t="s">
        <v>696</v>
      </c>
      <c r="D478" s="13"/>
      <c r="E478">
        <v>0</v>
      </c>
      <c r="G478" s="72">
        <v>250</v>
      </c>
      <c r="H478" s="41">
        <f t="shared" si="9"/>
        <v>0</v>
      </c>
      <c r="L478" s="40" t="str">
        <f>INDEX(Overview!$B$8:$B$33,MATCH('OS&amp;E_FF&amp;E'!$A478,Overview!$A$8:$A$33,0))</f>
        <v>Loose Furniture rooms</v>
      </c>
    </row>
    <row r="479" spans="1:18">
      <c r="A479" t="s">
        <v>28</v>
      </c>
      <c r="B479" s="88">
        <f>IF(INDEX(Overview!$C$8:$C$33,MATCH('OS&amp;E_FF&amp;E'!A479,Overview!$A$8:$A$33,0))=0,0,1)</f>
        <v>0</v>
      </c>
      <c r="C479" s="62" t="s">
        <v>697</v>
      </c>
      <c r="D479" s="13"/>
      <c r="E479">
        <v>0</v>
      </c>
      <c r="G479" s="72">
        <v>200</v>
      </c>
      <c r="H479" s="41">
        <f t="shared" si="9"/>
        <v>0</v>
      </c>
      <c r="L479" s="40" t="str">
        <f>INDEX(Overview!$B$8:$B$33,MATCH('OS&amp;E_FF&amp;E'!$A479,Overview!$A$8:$A$33,0))</f>
        <v>Loose Furniture rooms</v>
      </c>
    </row>
    <row r="480" spans="1:18">
      <c r="A480" t="s">
        <v>28</v>
      </c>
      <c r="B480" s="88">
        <f>IF(INDEX(Overview!$C$8:$C$33,MATCH('OS&amp;E_FF&amp;E'!A480,Overview!$A$8:$A$33,0))=0,0,1)</f>
        <v>0</v>
      </c>
      <c r="C480" s="62" t="s">
        <v>698</v>
      </c>
      <c r="D480" s="13"/>
      <c r="E480">
        <v>0</v>
      </c>
      <c r="G480" s="72">
        <v>250</v>
      </c>
      <c r="H480" s="41">
        <f t="shared" si="9"/>
        <v>0</v>
      </c>
      <c r="L480" s="40" t="str">
        <f>INDEX(Overview!$B$8:$B$33,MATCH('OS&amp;E_FF&amp;E'!$A480,Overview!$A$8:$A$33,0))</f>
        <v>Loose Furniture rooms</v>
      </c>
    </row>
    <row r="481" spans="1:12">
      <c r="A481" t="s">
        <v>28</v>
      </c>
      <c r="B481" s="88">
        <f>IF(INDEX(Overview!$C$8:$C$33,MATCH('OS&amp;E_FF&amp;E'!A481,Overview!$A$8:$A$33,0))=0,0,1)</f>
        <v>0</v>
      </c>
      <c r="C481" s="62" t="s">
        <v>699</v>
      </c>
      <c r="D481" s="13"/>
      <c r="E481">
        <v>0</v>
      </c>
      <c r="G481" s="72">
        <v>500</v>
      </c>
      <c r="H481" s="41">
        <f t="shared" si="9"/>
        <v>0</v>
      </c>
      <c r="L481" s="40" t="str">
        <f>INDEX(Overview!$B$8:$B$33,MATCH('OS&amp;E_FF&amp;E'!$A481,Overview!$A$8:$A$33,0))</f>
        <v>Loose Furniture rooms</v>
      </c>
    </row>
    <row r="482" spans="1:12">
      <c r="A482" t="s">
        <v>28</v>
      </c>
      <c r="B482" s="88">
        <f>IF(INDEX(Overview!$C$8:$C$33,MATCH('OS&amp;E_FF&amp;E'!A482,Overview!$A$8:$A$33,0))=0,0,1)</f>
        <v>0</v>
      </c>
      <c r="C482" s="61" t="s">
        <v>700</v>
      </c>
      <c r="D482" s="13"/>
      <c r="E482">
        <v>0</v>
      </c>
      <c r="G482" s="72">
        <v>320</v>
      </c>
      <c r="H482" s="41">
        <f t="shared" ref="H482:H510" si="10">E482*G482</f>
        <v>0</v>
      </c>
      <c r="L482" s="40" t="str">
        <f>INDEX(Overview!$B$8:$B$33,MATCH('OS&amp;E_FF&amp;E'!$A482,Overview!$A$8:$A$33,0))</f>
        <v>Loose Furniture rooms</v>
      </c>
    </row>
    <row r="483" spans="1:12">
      <c r="A483" t="s">
        <v>28</v>
      </c>
      <c r="B483" s="88">
        <f>IF(INDEX(Overview!$C$8:$C$33,MATCH('OS&amp;E_FF&amp;E'!A483,Overview!$A$8:$A$33,0))=0,0,1)</f>
        <v>0</v>
      </c>
      <c r="C483" s="61" t="s">
        <v>701</v>
      </c>
      <c r="D483" s="13"/>
      <c r="E483">
        <v>0</v>
      </c>
      <c r="G483" s="72">
        <v>225</v>
      </c>
      <c r="H483" s="41">
        <f t="shared" si="10"/>
        <v>0</v>
      </c>
      <c r="L483" s="40" t="str">
        <f>INDEX(Overview!$B$8:$B$33,MATCH('OS&amp;E_FF&amp;E'!$A483,Overview!$A$8:$A$33,0))</f>
        <v>Loose Furniture rooms</v>
      </c>
    </row>
    <row r="484" spans="1:12">
      <c r="A484" t="s">
        <v>28</v>
      </c>
      <c r="B484" s="88">
        <f>IF(INDEX(Overview!$C$8:$C$33,MATCH('OS&amp;E_FF&amp;E'!A484,Overview!$A$8:$A$33,0))=0,0,1)</f>
        <v>0</v>
      </c>
      <c r="C484" s="61" t="s">
        <v>702</v>
      </c>
      <c r="D484" s="13"/>
      <c r="E484">
        <v>0</v>
      </c>
      <c r="G484" s="72">
        <v>600</v>
      </c>
      <c r="H484" s="41">
        <f t="shared" si="10"/>
        <v>0</v>
      </c>
      <c r="L484" s="40" t="str">
        <f>INDEX(Overview!$B$8:$B$33,MATCH('OS&amp;E_FF&amp;E'!$A484,Overview!$A$8:$A$33,0))</f>
        <v>Loose Furniture rooms</v>
      </c>
    </row>
    <row r="485" spans="1:12">
      <c r="A485" t="s">
        <v>28</v>
      </c>
      <c r="B485" s="88">
        <f>IF(INDEX(Overview!$C$8:$C$33,MATCH('OS&amp;E_FF&amp;E'!A485,Overview!$A$8:$A$33,0))=0,0,1)</f>
        <v>0</v>
      </c>
      <c r="C485" t="s">
        <v>703</v>
      </c>
      <c r="D485" s="13"/>
      <c r="E485">
        <v>0</v>
      </c>
      <c r="G485" s="72">
        <v>200</v>
      </c>
      <c r="H485" s="41">
        <f t="shared" si="10"/>
        <v>0</v>
      </c>
      <c r="L485" s="40" t="str">
        <f>INDEX(Overview!$B$8:$B$33,MATCH('OS&amp;E_FF&amp;E'!$A485,Overview!$A$8:$A$33,0))</f>
        <v>Loose Furniture rooms</v>
      </c>
    </row>
    <row r="486" spans="1:12">
      <c r="A486" t="s">
        <v>32</v>
      </c>
      <c r="B486" s="88">
        <f>IF(INDEX(Overview!$C$8:$C$33,MATCH('OS&amp;E_FF&amp;E'!A486,Overview!$A$8:$A$33,0))=0,0,1)</f>
        <v>1</v>
      </c>
      <c r="C486" t="s">
        <v>704</v>
      </c>
      <c r="D486" s="13"/>
      <c r="E486">
        <v>180</v>
      </c>
      <c r="G486" s="72">
        <v>130</v>
      </c>
      <c r="H486" s="41">
        <f t="shared" si="10"/>
        <v>23400</v>
      </c>
      <c r="L486" s="40" t="str">
        <f>INDEX(Overview!$B$8:$B$33,MATCH('OS&amp;E_FF&amp;E'!$A486,Overview!$A$8:$A$33,0))</f>
        <v xml:space="preserve">Linen </v>
      </c>
    </row>
    <row r="487" spans="1:12">
      <c r="A487" t="s">
        <v>32</v>
      </c>
      <c r="B487" s="88">
        <f>IF(INDEX(Overview!$C$8:$C$33,MATCH('OS&amp;E_FF&amp;E'!A487,Overview!$A$8:$A$33,0))=0,0,1)</f>
        <v>1</v>
      </c>
      <c r="C487" t="s">
        <v>705</v>
      </c>
      <c r="D487" s="13"/>
      <c r="E487">
        <v>360</v>
      </c>
      <c r="G487" s="72">
        <v>65</v>
      </c>
      <c r="H487" s="41">
        <f t="shared" si="10"/>
        <v>23400</v>
      </c>
      <c r="L487" s="40" t="str">
        <f>INDEX(Overview!$B$8:$B$33,MATCH('OS&amp;E_FF&amp;E'!$A487,Overview!$A$8:$A$33,0))</f>
        <v xml:space="preserve">Linen </v>
      </c>
    </row>
    <row r="488" spans="1:12">
      <c r="A488" t="s">
        <v>34</v>
      </c>
      <c r="B488" s="88">
        <f>IF(INDEX(Overview!$C$8:$C$33,MATCH('OS&amp;E_FF&amp;E'!A488,Overview!$A$8:$A$33,0))=0,0,1)</f>
        <v>1</v>
      </c>
      <c r="C488" t="s">
        <v>706</v>
      </c>
      <c r="D488" s="13"/>
      <c r="E488">
        <v>80</v>
      </c>
      <c r="G488" s="72">
        <v>155</v>
      </c>
      <c r="H488" s="41">
        <f t="shared" si="10"/>
        <v>12400</v>
      </c>
      <c r="L488" s="40" t="str">
        <f>INDEX(Overview!$B$8:$B$33,MATCH('OS&amp;E_FF&amp;E'!$A488,Overview!$A$8:$A$33,0))</f>
        <v>Transport &amp; Installation</v>
      </c>
    </row>
    <row r="489" spans="1:12">
      <c r="A489" s="40" t="s">
        <v>40</v>
      </c>
      <c r="B489" s="87">
        <f>IF(INDEX(Overview!$C$8:$C$33,MATCH('OS&amp;E_FF&amp;E'!A489,Overview!$A$8:$A$33,0))=0,0,1)</f>
        <v>1</v>
      </c>
      <c r="C489" t="s">
        <v>707</v>
      </c>
      <c r="D489" s="39" t="s">
        <v>689</v>
      </c>
      <c r="E489" s="40">
        <v>200</v>
      </c>
      <c r="F489" s="40" t="s">
        <v>545</v>
      </c>
      <c r="G489" s="72">
        <v>0.05</v>
      </c>
      <c r="H489" s="30">
        <f t="shared" si="10"/>
        <v>10</v>
      </c>
      <c r="I489" s="40" t="s">
        <v>708</v>
      </c>
      <c r="L489" s="40" t="str">
        <f>INDEX(Overview!$B$8:$B$33,MATCH('OS&amp;E_FF&amp;E'!$A489,Overview!$A$8:$A$33,0))</f>
        <v xml:space="preserve">Guestroom equipment and support </v>
      </c>
    </row>
    <row r="490" spans="1:12">
      <c r="A490" s="40" t="s">
        <v>40</v>
      </c>
      <c r="B490" s="87">
        <f>IF(INDEX(Overview!$C$8:$C$33,MATCH('OS&amp;E_FF&amp;E'!A490,Overview!$A$8:$A$33,0))=0,0,1)</f>
        <v>1</v>
      </c>
      <c r="C490" t="s">
        <v>709</v>
      </c>
      <c r="D490" s="39" t="s">
        <v>689</v>
      </c>
      <c r="E490" s="40">
        <v>200</v>
      </c>
      <c r="F490" s="40" t="s">
        <v>545</v>
      </c>
      <c r="G490" s="72">
        <v>0.06</v>
      </c>
      <c r="H490" s="30">
        <f t="shared" si="10"/>
        <v>12</v>
      </c>
      <c r="I490" s="40" t="s">
        <v>708</v>
      </c>
      <c r="L490" s="40" t="str">
        <f>INDEX(Overview!$B$8:$B$33,MATCH('OS&amp;E_FF&amp;E'!$A490,Overview!$A$8:$A$33,0))</f>
        <v xml:space="preserve">Guestroom equipment and support </v>
      </c>
    </row>
    <row r="491" spans="1:12">
      <c r="A491" s="40" t="s">
        <v>40</v>
      </c>
      <c r="B491" s="87">
        <f>IF(INDEX(Overview!$C$8:$C$33,MATCH('OS&amp;E_FF&amp;E'!A491,Overview!$A$8:$A$33,0))=0,0,1)</f>
        <v>1</v>
      </c>
      <c r="C491" t="s">
        <v>710</v>
      </c>
      <c r="D491" s="39" t="s">
        <v>689</v>
      </c>
      <c r="E491" s="40">
        <v>10</v>
      </c>
      <c r="F491" s="40" t="s">
        <v>545</v>
      </c>
      <c r="G491" s="72">
        <v>7</v>
      </c>
      <c r="H491" s="30">
        <f t="shared" si="10"/>
        <v>70</v>
      </c>
      <c r="I491" s="40" t="s">
        <v>711</v>
      </c>
      <c r="L491" s="40" t="str">
        <f>INDEX(Overview!$B$8:$B$33,MATCH('OS&amp;E_FF&amp;E'!$A491,Overview!$A$8:$A$33,0))</f>
        <v xml:space="preserve">Guestroom equipment and support </v>
      </c>
    </row>
    <row r="492" spans="1:12">
      <c r="A492" s="40" t="s">
        <v>40</v>
      </c>
      <c r="B492" s="87">
        <f>IF(INDEX(Overview!$C$8:$C$33,MATCH('OS&amp;E_FF&amp;E'!A492,Overview!$A$8:$A$33,0))=0,0,1)</f>
        <v>1</v>
      </c>
      <c r="C492" t="s">
        <v>712</v>
      </c>
      <c r="D492" s="39" t="s">
        <v>689</v>
      </c>
      <c r="E492" s="40">
        <v>7</v>
      </c>
      <c r="F492" s="40" t="s">
        <v>463</v>
      </c>
      <c r="G492" s="72">
        <v>10</v>
      </c>
      <c r="H492" s="30">
        <f t="shared" si="10"/>
        <v>70</v>
      </c>
      <c r="I492" s="40" t="s">
        <v>713</v>
      </c>
      <c r="L492" s="40" t="str">
        <f>INDEX(Overview!$B$8:$B$33,MATCH('OS&amp;E_FF&amp;E'!$A492,Overview!$A$8:$A$33,0))</f>
        <v xml:space="preserve">Guestroom equipment and support </v>
      </c>
    </row>
    <row r="493" spans="1:12">
      <c r="A493" s="40" t="s">
        <v>40</v>
      </c>
      <c r="B493" s="87">
        <f>IF(INDEX(Overview!$C$8:$C$33,MATCH('OS&amp;E_FF&amp;E'!A493,Overview!$A$8:$A$33,0))=0,0,1)</f>
        <v>1</v>
      </c>
      <c r="C493" t="s">
        <v>714</v>
      </c>
      <c r="D493" s="39" t="s">
        <v>689</v>
      </c>
      <c r="E493" s="40">
        <v>500</v>
      </c>
      <c r="F493" s="40" t="s">
        <v>545</v>
      </c>
      <c r="G493" s="72">
        <v>0.5</v>
      </c>
      <c r="H493" s="30">
        <f t="shared" si="10"/>
        <v>250</v>
      </c>
      <c r="I493" s="40" t="s">
        <v>708</v>
      </c>
      <c r="L493" s="40" t="str">
        <f>INDEX(Overview!$B$8:$B$33,MATCH('OS&amp;E_FF&amp;E'!$A493,Overview!$A$8:$A$33,0))</f>
        <v xml:space="preserve">Guestroom equipment and support </v>
      </c>
    </row>
    <row r="494" spans="1:12">
      <c r="A494" s="40" t="s">
        <v>40</v>
      </c>
      <c r="B494" s="87">
        <f>IF(INDEX(Overview!$C$8:$C$33,MATCH('OS&amp;E_FF&amp;E'!A494,Overview!$A$8:$A$33,0))=0,0,1)</f>
        <v>1</v>
      </c>
      <c r="C494" t="s">
        <v>715</v>
      </c>
      <c r="D494" s="39" t="s">
        <v>689</v>
      </c>
      <c r="E494" s="40">
        <v>100</v>
      </c>
      <c r="F494" s="40" t="s">
        <v>545</v>
      </c>
      <c r="G494" s="72">
        <v>0.05</v>
      </c>
      <c r="H494" s="30">
        <f t="shared" si="10"/>
        <v>5</v>
      </c>
      <c r="I494" s="40" t="s">
        <v>708</v>
      </c>
      <c r="L494" s="40" t="str">
        <f>INDEX(Overview!$B$8:$B$33,MATCH('OS&amp;E_FF&amp;E'!$A494,Overview!$A$8:$A$33,0))</f>
        <v xml:space="preserve">Guestroom equipment and support </v>
      </c>
    </row>
    <row r="495" spans="1:12">
      <c r="A495" s="40" t="s">
        <v>40</v>
      </c>
      <c r="B495" s="87">
        <f>IF(INDEX(Overview!$C$8:$C$33,MATCH('OS&amp;E_FF&amp;E'!A495,Overview!$A$8:$A$33,0))=0,0,1)</f>
        <v>1</v>
      </c>
      <c r="C495" t="s">
        <v>716</v>
      </c>
      <c r="D495" s="39" t="s">
        <v>689</v>
      </c>
      <c r="E495" s="40">
        <v>100</v>
      </c>
      <c r="F495" s="40" t="s">
        <v>545</v>
      </c>
      <c r="G495" s="72">
        <v>0.2</v>
      </c>
      <c r="H495" s="30">
        <f t="shared" si="10"/>
        <v>20</v>
      </c>
      <c r="I495" s="40" t="s">
        <v>708</v>
      </c>
      <c r="L495" s="40" t="str">
        <f>INDEX(Overview!$B$8:$B$33,MATCH('OS&amp;E_FF&amp;E'!$A495,Overview!$A$8:$A$33,0))</f>
        <v xml:space="preserve">Guestroom equipment and support </v>
      </c>
    </row>
    <row r="496" spans="1:12">
      <c r="A496" s="40" t="s">
        <v>40</v>
      </c>
      <c r="B496" s="87">
        <f>IF(INDEX(Overview!$C$8:$C$33,MATCH('OS&amp;E_FF&amp;E'!A496,Overview!$A$8:$A$33,0))=0,0,1)</f>
        <v>1</v>
      </c>
      <c r="C496" t="s">
        <v>717</v>
      </c>
      <c r="D496" s="42" t="s">
        <v>689</v>
      </c>
      <c r="E496" s="40">
        <v>500</v>
      </c>
      <c r="F496" s="40" t="s">
        <v>545</v>
      </c>
      <c r="G496" s="72">
        <v>3.5</v>
      </c>
      <c r="H496" s="30">
        <f t="shared" si="10"/>
        <v>1750</v>
      </c>
      <c r="I496" s="40" t="s">
        <v>708</v>
      </c>
      <c r="L496" s="40" t="str">
        <f>INDEX(Overview!$B$8:$B$33,MATCH('OS&amp;E_FF&amp;E'!$A496,Overview!$A$8:$A$33,0))</f>
        <v xml:space="preserve">Guestroom equipment and support </v>
      </c>
    </row>
    <row r="497" spans="1:18">
      <c r="A497" s="40" t="s">
        <v>40</v>
      </c>
      <c r="B497" s="87">
        <f>IF(INDEX(Overview!$C$8:$C$33,MATCH('OS&amp;E_FF&amp;E'!A497,Overview!$A$8:$A$33,0))=0,0,1)</f>
        <v>1</v>
      </c>
      <c r="C497" t="s">
        <v>718</v>
      </c>
      <c r="D497" s="42" t="s">
        <v>689</v>
      </c>
      <c r="E497" s="40">
        <v>1</v>
      </c>
      <c r="F497" s="40" t="s">
        <v>545</v>
      </c>
      <c r="G497" s="72">
        <v>400</v>
      </c>
      <c r="H497" s="30">
        <f t="shared" si="10"/>
        <v>400</v>
      </c>
      <c r="L497" s="40" t="str">
        <f>INDEX(Overview!$B$8:$B$33,MATCH('OS&amp;E_FF&amp;E'!$A497,Overview!$A$8:$A$33,0))</f>
        <v xml:space="preserve">Guestroom equipment and support </v>
      </c>
    </row>
    <row r="498" spans="1:18">
      <c r="A498" s="40" t="s">
        <v>40</v>
      </c>
      <c r="B498" s="87">
        <f>IF(INDEX(Overview!$C$8:$C$33,MATCH('OS&amp;E_FF&amp;E'!A498,Overview!$A$8:$A$33,0))=0,0,1)</f>
        <v>1</v>
      </c>
      <c r="C498" t="s">
        <v>719</v>
      </c>
      <c r="D498" s="42" t="s">
        <v>689</v>
      </c>
      <c r="E498" s="40">
        <v>500</v>
      </c>
      <c r="F498" s="40" t="s">
        <v>545</v>
      </c>
      <c r="G498" s="72">
        <v>0.5</v>
      </c>
      <c r="H498" s="30">
        <f t="shared" si="10"/>
        <v>250</v>
      </c>
      <c r="I498" s="40" t="s">
        <v>708</v>
      </c>
      <c r="L498" s="40" t="str">
        <f>INDEX(Overview!$B$8:$B$33,MATCH('OS&amp;E_FF&amp;E'!$A498,Overview!$A$8:$A$33,0))</f>
        <v xml:space="preserve">Guestroom equipment and support </v>
      </c>
    </row>
    <row r="499" spans="1:18">
      <c r="A499" s="40" t="s">
        <v>40</v>
      </c>
      <c r="B499" s="87">
        <f>IF(INDEX(Overview!$C$8:$C$33,MATCH('OS&amp;E_FF&amp;E'!A499,Overview!$A$8:$A$33,0))=0,0,1)</f>
        <v>1</v>
      </c>
      <c r="C499" t="s">
        <v>720</v>
      </c>
      <c r="D499" s="42" t="s">
        <v>689</v>
      </c>
      <c r="E499" s="40">
        <v>1</v>
      </c>
      <c r="F499" s="40" t="s">
        <v>545</v>
      </c>
      <c r="G499" s="72">
        <v>50</v>
      </c>
      <c r="H499" s="30">
        <f t="shared" si="10"/>
        <v>50</v>
      </c>
      <c r="I499" s="40" t="s">
        <v>711</v>
      </c>
      <c r="L499" s="40" t="str">
        <f>INDEX(Overview!$B$8:$B$33,MATCH('OS&amp;E_FF&amp;E'!$A499,Overview!$A$8:$A$33,0))</f>
        <v xml:space="preserve">Guestroom equipment and support </v>
      </c>
    </row>
    <row r="500" spans="1:18">
      <c r="A500" s="40" t="s">
        <v>40</v>
      </c>
      <c r="B500" s="87">
        <f>IF(INDEX(Overview!$C$8:$C$33,MATCH('OS&amp;E_FF&amp;E'!A500,Overview!$A$8:$A$33,0))=0,0,1)</f>
        <v>1</v>
      </c>
      <c r="C500" t="s">
        <v>721</v>
      </c>
      <c r="D500" s="42" t="s">
        <v>689</v>
      </c>
      <c r="E500" s="40">
        <v>500</v>
      </c>
      <c r="F500" s="40" t="s">
        <v>545</v>
      </c>
      <c r="G500" s="72">
        <v>0.4</v>
      </c>
      <c r="H500" s="30">
        <f t="shared" si="10"/>
        <v>200</v>
      </c>
      <c r="I500" s="40" t="s">
        <v>708</v>
      </c>
      <c r="L500" s="40" t="str">
        <f>INDEX(Overview!$B$8:$B$33,MATCH('OS&amp;E_FF&amp;E'!$A500,Overview!$A$8:$A$33,0))</f>
        <v xml:space="preserve">Guestroom equipment and support </v>
      </c>
    </row>
    <row r="501" spans="1:18">
      <c r="A501" s="40" t="s">
        <v>40</v>
      </c>
      <c r="B501" s="87">
        <f>IF(INDEX(Overview!$C$8:$C$33,MATCH('OS&amp;E_FF&amp;E'!A501,Overview!$A$8:$A$33,0))=0,0,1)</f>
        <v>1</v>
      </c>
      <c r="C501" t="s">
        <v>602</v>
      </c>
      <c r="D501" s="42" t="s">
        <v>689</v>
      </c>
      <c r="E501">
        <v>50</v>
      </c>
      <c r="F501" t="s">
        <v>545</v>
      </c>
      <c r="G501" s="73">
        <v>5</v>
      </c>
      <c r="H501" s="30">
        <f t="shared" si="10"/>
        <v>250</v>
      </c>
      <c r="L501" s="40" t="str">
        <f>INDEX(Overview!$B$8:$B$33,MATCH('OS&amp;E_FF&amp;E'!$A501,Overview!$A$8:$A$33,0))</f>
        <v xml:space="preserve">Guestroom equipment and support </v>
      </c>
    </row>
    <row r="502" spans="1:18">
      <c r="A502" s="40" t="s">
        <v>40</v>
      </c>
      <c r="B502" s="87">
        <f>IF(INDEX(Overview!$C$8:$C$33,MATCH('OS&amp;E_FF&amp;E'!A502,Overview!$A$8:$A$33,0))=0,0,1)</f>
        <v>1</v>
      </c>
      <c r="C502" t="s">
        <v>722</v>
      </c>
      <c r="D502" s="42" t="s">
        <v>689</v>
      </c>
      <c r="E502">
        <v>3</v>
      </c>
      <c r="F502" t="s">
        <v>545</v>
      </c>
      <c r="G502" s="73">
        <v>150</v>
      </c>
      <c r="H502" s="30">
        <f t="shared" si="10"/>
        <v>450</v>
      </c>
      <c r="L502" s="40" t="str">
        <f>INDEX(Overview!$B$8:$B$33,MATCH('OS&amp;E_FF&amp;E'!$A502,Overview!$A$8:$A$33,0))</f>
        <v xml:space="preserve">Guestroom equipment and support </v>
      </c>
    </row>
    <row r="503" spans="1:18">
      <c r="A503" s="40" t="s">
        <v>43</v>
      </c>
      <c r="B503" s="87">
        <f>IF(INDEX(Overview!$C$8:$C$33,MATCH('OS&amp;E_FF&amp;E'!A503,Overview!$A$8:$A$33,0))=0,0,1)</f>
        <v>1</v>
      </c>
      <c r="C503" t="s">
        <v>723</v>
      </c>
      <c r="D503" s="39" t="s">
        <v>675</v>
      </c>
      <c r="E503" s="40">
        <v>1</v>
      </c>
      <c r="F503" s="40" t="s">
        <v>463</v>
      </c>
      <c r="G503" s="72">
        <v>50</v>
      </c>
      <c r="H503" s="30">
        <f t="shared" si="10"/>
        <v>50</v>
      </c>
      <c r="L503" s="40" t="str">
        <f>INDEX(Overview!$B$8:$B$33,MATCH('OS&amp;E_FF&amp;E'!$A503,Overview!$A$8:$A$33,0))</f>
        <v xml:space="preserve">Cleaning equipment and tools </v>
      </c>
    </row>
    <row r="504" spans="1:18">
      <c r="A504" t="s">
        <v>43</v>
      </c>
      <c r="B504" s="88">
        <f>IF(INDEX(Overview!$C$8:$C$33,MATCH('OS&amp;E_FF&amp;E'!A504,Overview!$A$8:$A$33,0))=0,0,1)</f>
        <v>1</v>
      </c>
      <c r="C504" t="s">
        <v>724</v>
      </c>
      <c r="D504" s="13" t="s">
        <v>725</v>
      </c>
      <c r="E504">
        <v>1</v>
      </c>
      <c r="F504" t="s">
        <v>726</v>
      </c>
      <c r="G504" s="73">
        <v>5000</v>
      </c>
      <c r="H504" s="30">
        <f t="shared" si="10"/>
        <v>5000</v>
      </c>
      <c r="I504"/>
      <c r="J504"/>
      <c r="K504"/>
      <c r="L504" s="40" t="str">
        <f>INDEX(Overview!$B$8:$B$33,MATCH('OS&amp;E_FF&amp;E'!$A504,Overview!$A$8:$A$33,0))</f>
        <v xml:space="preserve">Cleaning equipment and tools </v>
      </c>
      <c r="M504"/>
      <c r="N504"/>
      <c r="O504"/>
      <c r="P504"/>
      <c r="Q504"/>
      <c r="R504"/>
    </row>
    <row r="505" spans="1:18">
      <c r="A505" s="40" t="s">
        <v>47</v>
      </c>
      <c r="B505" s="87">
        <f>IF(INDEX(Overview!$C$8:$C$33,MATCH('OS&amp;E_FF&amp;E'!A505,Overview!$A$8:$A$33,0))=0,0,1)</f>
        <v>1</v>
      </c>
      <c r="C505" t="s">
        <v>568</v>
      </c>
      <c r="D505" s="13" t="s">
        <v>727</v>
      </c>
      <c r="E505" s="40">
        <v>1</v>
      </c>
      <c r="G505" s="72">
        <v>2500</v>
      </c>
      <c r="H505" s="30">
        <f t="shared" si="10"/>
        <v>2500</v>
      </c>
      <c r="J505" s="47"/>
      <c r="K505" s="47"/>
      <c r="L505" s="40" t="str">
        <f>INDEX(Overview!$B$8:$B$33,MATCH('OS&amp;E_FF&amp;E'!$A505,Overview!$A$8:$A$33,0))</f>
        <v xml:space="preserve">Wardrobe (uniforms) </v>
      </c>
      <c r="M505"/>
      <c r="N505"/>
      <c r="O505"/>
      <c r="P505"/>
      <c r="Q505"/>
      <c r="R505"/>
    </row>
    <row r="506" spans="1:18">
      <c r="A506" s="40" t="s">
        <v>47</v>
      </c>
      <c r="B506" s="87">
        <f>IF(INDEX(Overview!$C$8:$C$33,MATCH('OS&amp;E_FF&amp;E'!A506,Overview!$A$8:$A$33,0))=0,0,1)</f>
        <v>1</v>
      </c>
      <c r="C506" t="s">
        <v>566</v>
      </c>
      <c r="D506" s="13" t="s">
        <v>727</v>
      </c>
      <c r="E506" s="40">
        <v>1</v>
      </c>
      <c r="G506" s="72">
        <v>2500</v>
      </c>
      <c r="H506" s="30">
        <f t="shared" si="10"/>
        <v>2500</v>
      </c>
      <c r="J506" s="47"/>
      <c r="K506" s="47"/>
      <c r="L506" s="40" t="str">
        <f>INDEX(Overview!$B$8:$B$33,MATCH('OS&amp;E_FF&amp;E'!$A506,Overview!$A$8:$A$33,0))</f>
        <v xml:space="preserve">Wardrobe (uniforms) </v>
      </c>
      <c r="M506"/>
      <c r="N506"/>
      <c r="O506"/>
      <c r="P506"/>
      <c r="Q506"/>
      <c r="R506"/>
    </row>
    <row r="507" spans="1:18">
      <c r="A507" s="40" t="s">
        <v>82</v>
      </c>
      <c r="B507" s="87">
        <f>IF(INDEX(Overview!$C$8:$C$33,MATCH('OS&amp;E_FF&amp;E'!A507,Overview!$A$8:$A$33,0))=0,0,1)</f>
        <v>1</v>
      </c>
      <c r="C507" s="40" t="s">
        <v>728</v>
      </c>
      <c r="D507" s="40" t="s">
        <v>729</v>
      </c>
      <c r="E507" s="40">
        <v>1</v>
      </c>
      <c r="G507" s="48">
        <v>15000</v>
      </c>
      <c r="H507" s="48">
        <f t="shared" si="10"/>
        <v>15000</v>
      </c>
      <c r="L507" s="40" t="str">
        <f>INDEX(Overview!$B$8:$B$33,MATCH('OS&amp;E_FF&amp;E'!$A507,Overview!$A$8:$A$33,0))</f>
        <v>Plants</v>
      </c>
    </row>
    <row r="508" spans="1:18">
      <c r="A508" s="40" t="s">
        <v>32</v>
      </c>
      <c r="B508" s="87">
        <f>IF(INDEX(Overview!$C$8:$C$33,MATCH('OS&amp;E_FF&amp;E'!A508,Overview!$A$8:$A$33,0))=0,0,1)</f>
        <v>1</v>
      </c>
      <c r="C508" s="40" t="s">
        <v>730</v>
      </c>
      <c r="E508" s="40">
        <v>0</v>
      </c>
      <c r="G508" s="48">
        <v>200</v>
      </c>
      <c r="H508" s="48">
        <f t="shared" si="10"/>
        <v>0</v>
      </c>
      <c r="L508" s="40" t="str">
        <f>INDEX(Overview!$B$8:$B$33,MATCH('OS&amp;E_FF&amp;E'!$A508,Overview!$A$8:$A$33,0))</f>
        <v xml:space="preserve">Linen </v>
      </c>
    </row>
    <row r="509" spans="1:18">
      <c r="A509" s="40" t="s">
        <v>56</v>
      </c>
      <c r="B509" s="87">
        <f>IF(INDEX(Overview!$C$8:$C$33,MATCH('OS&amp;E_FF&amp;E'!A509,Overview!$A$8:$A$33,0))=0,0,1)</f>
        <v>0</v>
      </c>
      <c r="C509" s="40" t="s">
        <v>731</v>
      </c>
      <c r="D509" s="40" t="s">
        <v>445</v>
      </c>
      <c r="E509" s="40">
        <v>1</v>
      </c>
      <c r="F509" s="40" t="s">
        <v>732</v>
      </c>
      <c r="G509" s="48">
        <v>15000</v>
      </c>
      <c r="H509" s="48">
        <f t="shared" si="10"/>
        <v>15000</v>
      </c>
      <c r="L509" s="40" t="str">
        <f>INDEX(Overview!$B$8:$B$33,MATCH('OS&amp;E_FF&amp;E'!$A509,Overview!$A$8:$A$33,0))</f>
        <v xml:space="preserve">Wellness, fitness and recreational equipment </v>
      </c>
    </row>
    <row r="510" spans="1:18">
      <c r="A510" s="40" t="s">
        <v>766</v>
      </c>
      <c r="B510" s="87">
        <v>1</v>
      </c>
      <c r="C510" s="40" t="s">
        <v>765</v>
      </c>
      <c r="E510" s="40">
        <v>1</v>
      </c>
      <c r="G510" s="48">
        <f>Overview!C39</f>
        <v>15103.089999999997</v>
      </c>
      <c r="H510" s="48">
        <f t="shared" si="10"/>
        <v>15103.089999999997</v>
      </c>
      <c r="L510" s="40" t="e">
        <f>INDEX(Overview!$B$8:$B$33,MATCH('OS&amp;E_FF&amp;E'!$A510,Overview!$A$8:$A$33,0))</f>
        <v>#N/A</v>
      </c>
    </row>
    <row r="512" spans="1:18">
      <c r="H512" s="48">
        <f>SUM(H2:H509)</f>
        <v>432560.91</v>
      </c>
    </row>
    <row r="513" spans="8:8">
      <c r="H513" s="48">
        <f>SUMIFS(H$2:H$511,$B$2:$B$511,1)</f>
        <v>165000</v>
      </c>
    </row>
  </sheetData>
  <autoFilter ref="A1:R509" xr:uid="{2985E53F-774E-5C4B-B8F9-1E88F47EA78D}">
    <sortState xmlns:xlrd2="http://schemas.microsoft.com/office/spreadsheetml/2017/richdata2" ref="A2:R506">
      <sortCondition ref="A1:A506"/>
    </sortState>
  </autoFilter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FCE64D-8C76-42E6-8B82-2DC10034BE53}">
          <x14:formula1>
            <xm:f>Blad1!$A$2:$A$46</xm:f>
          </x14:formula1>
          <xm:sqref>D341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1271-905A-4518-8B4C-336791284145}">
  <dimension ref="A1:A46"/>
  <sheetViews>
    <sheetView topLeftCell="A6" workbookViewId="0">
      <selection sqref="A1:A512"/>
    </sheetView>
  </sheetViews>
  <sheetFormatPr defaultRowHeight="15.75"/>
  <sheetData>
    <row r="1" spans="1:1">
      <c r="A1" s="43" t="s">
        <v>95</v>
      </c>
    </row>
    <row r="2" spans="1:1">
      <c r="A2" s="13" t="s">
        <v>104</v>
      </c>
    </row>
    <row r="3" spans="1:1">
      <c r="A3" s="13" t="s">
        <v>109</v>
      </c>
    </row>
    <row r="4" spans="1:1">
      <c r="A4" s="13" t="s">
        <v>126</v>
      </c>
    </row>
    <row r="5" spans="1:1">
      <c r="A5" s="13" t="s">
        <v>136</v>
      </c>
    </row>
    <row r="6" spans="1:1">
      <c r="A6" s="13" t="s">
        <v>149</v>
      </c>
    </row>
    <row r="7" spans="1:1">
      <c r="A7" s="13" t="s">
        <v>155</v>
      </c>
    </row>
    <row r="8" spans="1:1">
      <c r="A8" s="13" t="s">
        <v>157</v>
      </c>
    </row>
    <row r="9" spans="1:1">
      <c r="A9" s="13" t="s">
        <v>159</v>
      </c>
    </row>
    <row r="10" spans="1:1">
      <c r="A10" s="53" t="s">
        <v>161</v>
      </c>
    </row>
    <row r="11" spans="1:1">
      <c r="A11" s="13" t="s">
        <v>176</v>
      </c>
    </row>
    <row r="12" spans="1:1">
      <c r="A12" s="13" t="s">
        <v>191</v>
      </c>
    </row>
    <row r="13" spans="1:1">
      <c r="A13" s="13" t="s">
        <v>202</v>
      </c>
    </row>
    <row r="14" spans="1:1">
      <c r="A14" s="13" t="s">
        <v>210</v>
      </c>
    </row>
    <row r="15" spans="1:1">
      <c r="A15" s="13" t="s">
        <v>225</v>
      </c>
    </row>
    <row r="16" spans="1:1">
      <c r="A16" s="13" t="s">
        <v>249</v>
      </c>
    </row>
    <row r="17" spans="1:1">
      <c r="A17" s="13" t="s">
        <v>270</v>
      </c>
    </row>
    <row r="18" spans="1:1">
      <c r="A18" s="13" t="s">
        <v>279</v>
      </c>
    </row>
    <row r="19" spans="1:1">
      <c r="A19" s="13" t="s">
        <v>326</v>
      </c>
    </row>
    <row r="20" spans="1:1">
      <c r="A20" s="13" t="s">
        <v>347</v>
      </c>
    </row>
    <row r="21" spans="1:1">
      <c r="A21" s="13" t="s">
        <v>360</v>
      </c>
    </row>
    <row r="22" spans="1:1">
      <c r="A22" s="13" t="s">
        <v>370</v>
      </c>
    </row>
    <row r="23" spans="1:1">
      <c r="A23" s="39" t="s">
        <v>445</v>
      </c>
    </row>
    <row r="24" spans="1:1">
      <c r="A24" s="13" t="s">
        <v>459</v>
      </c>
    </row>
    <row r="25" spans="1:1">
      <c r="A25" s="13" t="s">
        <v>462</v>
      </c>
    </row>
    <row r="26" spans="1:1">
      <c r="A26" s="13" t="s">
        <v>478</v>
      </c>
    </row>
    <row r="27" spans="1:1">
      <c r="A27" s="13" t="s">
        <v>482</v>
      </c>
    </row>
    <row r="28" spans="1:1">
      <c r="A28" s="13"/>
    </row>
    <row r="29" spans="1:1">
      <c r="A29" s="13" t="s">
        <v>488</v>
      </c>
    </row>
    <row r="30" spans="1:1">
      <c r="A30" s="13" t="s">
        <v>530</v>
      </c>
    </row>
    <row r="31" spans="1:1">
      <c r="A31" s="13" t="s">
        <v>532</v>
      </c>
    </row>
    <row r="32" spans="1:1">
      <c r="A32" s="39" t="s">
        <v>541</v>
      </c>
    </row>
    <row r="33" spans="1:1">
      <c r="A33" s="13" t="s">
        <v>550</v>
      </c>
    </row>
    <row r="34" spans="1:1">
      <c r="A34" s="39" t="s">
        <v>621</v>
      </c>
    </row>
    <row r="35" spans="1:1">
      <c r="A35" s="13" t="s">
        <v>623</v>
      </c>
    </row>
    <row r="36" spans="1:1">
      <c r="A36" s="13" t="s">
        <v>628</v>
      </c>
    </row>
    <row r="37" spans="1:1">
      <c r="A37" s="13" t="s">
        <v>630</v>
      </c>
    </row>
    <row r="38" spans="1:1">
      <c r="A38" s="13" t="s">
        <v>647</v>
      </c>
    </row>
    <row r="39" spans="1:1">
      <c r="A39" s="13" t="s">
        <v>659</v>
      </c>
    </row>
    <row r="40" spans="1:1">
      <c r="A40" s="13" t="s">
        <v>675</v>
      </c>
    </row>
    <row r="41" spans="1:1">
      <c r="A41" s="13" t="s">
        <v>681</v>
      </c>
    </row>
    <row r="42" spans="1:1">
      <c r="A42" s="13" t="s">
        <v>685</v>
      </c>
    </row>
    <row r="43" spans="1:1">
      <c r="A43" s="39" t="s">
        <v>689</v>
      </c>
    </row>
    <row r="44" spans="1:1">
      <c r="A44" s="13" t="s">
        <v>725</v>
      </c>
    </row>
    <row r="45" spans="1:1">
      <c r="A45" s="13" t="s">
        <v>727</v>
      </c>
    </row>
    <row r="46" spans="1:1">
      <c r="A46" s="39" t="s">
        <v>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8326-2CE9-9441-B9D6-BE3C4B15407C}">
  <dimension ref="G2"/>
  <sheetViews>
    <sheetView workbookViewId="0">
      <selection activeCell="I26" sqref="I26"/>
    </sheetView>
  </sheetViews>
  <sheetFormatPr defaultColWidth="11" defaultRowHeight="15.75"/>
  <cols>
    <col min="2" max="2" width="29.5" bestFit="1" customWidth="1"/>
  </cols>
  <sheetData>
    <row r="2" spans="7:7">
      <c r="G2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E5E1-13CE-A94B-90B2-69EBE4189D80}">
  <dimension ref="A1:P33"/>
  <sheetViews>
    <sheetView workbookViewId="0">
      <selection activeCell="G15" sqref="G15"/>
    </sheetView>
  </sheetViews>
  <sheetFormatPr defaultColWidth="11" defaultRowHeight="15.75"/>
  <cols>
    <col min="1" max="1" width="20.125" bestFit="1" customWidth="1"/>
    <col min="2" max="2" width="13" style="1" bestFit="1" customWidth="1"/>
    <col min="3" max="3" width="58.875" style="1" bestFit="1" customWidth="1"/>
    <col min="4" max="6" width="0" hidden="1" customWidth="1"/>
    <col min="7" max="7" width="12.625" customWidth="1"/>
    <col min="8" max="10" width="13" style="1" bestFit="1" customWidth="1"/>
    <col min="11" max="13" width="12" style="1" bestFit="1" customWidth="1"/>
    <col min="14" max="16" width="10.875" style="1"/>
  </cols>
  <sheetData>
    <row r="1" spans="1:16" ht="16.5" thickBot="1">
      <c r="A1" s="17" t="s">
        <v>97</v>
      </c>
      <c r="B1" s="18" t="s">
        <v>99</v>
      </c>
      <c r="C1" s="18" t="s">
        <v>733</v>
      </c>
      <c r="D1" s="19" t="s">
        <v>734</v>
      </c>
      <c r="E1" s="19" t="s">
        <v>735</v>
      </c>
      <c r="F1" s="19" t="s">
        <v>736</v>
      </c>
      <c r="G1" s="19" t="s">
        <v>737</v>
      </c>
      <c r="H1" s="20" t="s">
        <v>738</v>
      </c>
      <c r="I1" s="20" t="s">
        <v>739</v>
      </c>
      <c r="J1" s="20" t="s">
        <v>740</v>
      </c>
      <c r="K1" s="20" t="s">
        <v>741</v>
      </c>
      <c r="L1" s="20" t="s">
        <v>742</v>
      </c>
      <c r="M1" s="20" t="s">
        <v>743</v>
      </c>
      <c r="N1" s="20" t="s">
        <v>744</v>
      </c>
      <c r="O1" s="20" t="s">
        <v>745</v>
      </c>
      <c r="P1" s="20" t="s">
        <v>746</v>
      </c>
    </row>
    <row r="2" spans="1:16" ht="16.5" thickTop="1">
      <c r="A2" s="15" t="s">
        <v>747</v>
      </c>
      <c r="B2" s="16">
        <f>SUMIF('OS&amp;E_FF&amp;E'!F:F,'Payment schedule'!A2,'OS&amp;E_FF&amp;E'!H:H)</f>
        <v>0</v>
      </c>
      <c r="C2" s="16" t="s">
        <v>748</v>
      </c>
      <c r="D2" s="15"/>
      <c r="E2" s="15"/>
      <c r="F2" s="15"/>
      <c r="G2" s="15"/>
      <c r="H2" s="16">
        <v>8183.85</v>
      </c>
      <c r="I2" s="16"/>
      <c r="J2" s="16"/>
      <c r="K2" s="16"/>
      <c r="L2" s="16"/>
      <c r="M2" s="16">
        <v>19095.650000000001</v>
      </c>
      <c r="N2" s="16"/>
      <c r="O2" s="16"/>
      <c r="P2" s="16"/>
    </row>
    <row r="3" spans="1:16">
      <c r="A3" s="13" t="s">
        <v>749</v>
      </c>
      <c r="B3" s="16">
        <f>SUMIF('OS&amp;E_FF&amp;E'!F:F,'Payment schedule'!A3,'OS&amp;E_FF&amp;E'!H:H)</f>
        <v>0</v>
      </c>
      <c r="C3" s="14" t="s">
        <v>750</v>
      </c>
      <c r="D3" s="13"/>
      <c r="E3" s="13"/>
      <c r="F3" s="13"/>
      <c r="G3" s="13"/>
      <c r="I3" s="14"/>
      <c r="J3" s="14">
        <v>35636.730000000003</v>
      </c>
      <c r="K3" s="14">
        <v>35636.720000000001</v>
      </c>
      <c r="L3" s="14"/>
      <c r="M3" s="14"/>
      <c r="N3" s="14"/>
      <c r="O3" s="14"/>
      <c r="P3" s="14"/>
    </row>
    <row r="4" spans="1:16">
      <c r="A4" s="13" t="s">
        <v>751</v>
      </c>
      <c r="B4" s="16">
        <f>SUMIF('OS&amp;E_FF&amp;E'!F:F,'Payment schedule'!A4,'OS&amp;E_FF&amp;E'!H:H)</f>
        <v>0</v>
      </c>
      <c r="C4" s="14"/>
      <c r="D4" s="13"/>
      <c r="E4" s="13"/>
      <c r="F4" s="13"/>
      <c r="G4" s="13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3" t="s">
        <v>752</v>
      </c>
      <c r="B5" s="16">
        <f>SUMIF('OS&amp;E_FF&amp;E'!F:F,'Payment schedule'!A5,'OS&amp;E_FF&amp;E'!H:H)</f>
        <v>0</v>
      </c>
      <c r="C5" s="14"/>
      <c r="D5" s="13"/>
      <c r="E5" s="13"/>
      <c r="F5" s="13"/>
      <c r="G5" s="13"/>
      <c r="H5" s="14"/>
      <c r="I5" s="14"/>
      <c r="J5" s="14">
        <v>11033.38</v>
      </c>
      <c r="K5" s="14"/>
      <c r="L5" s="14"/>
      <c r="M5" s="14">
        <v>11033.38</v>
      </c>
      <c r="N5" s="14"/>
      <c r="O5" s="14"/>
      <c r="P5" s="14"/>
    </row>
    <row r="6" spans="1:16">
      <c r="A6" s="13" t="s">
        <v>753</v>
      </c>
      <c r="B6" s="16">
        <f>SUMIF('OS&amp;E_FF&amp;E'!F:F,'Payment schedule'!A6,'OS&amp;E_FF&amp;E'!H:H)</f>
        <v>653</v>
      </c>
      <c r="C6" s="14"/>
      <c r="D6" s="13"/>
      <c r="E6" s="13"/>
      <c r="F6" s="13"/>
      <c r="G6" s="13"/>
      <c r="H6" s="14"/>
      <c r="I6" s="14"/>
      <c r="J6" s="14"/>
      <c r="K6" s="14"/>
      <c r="L6" s="14">
        <v>2357.5</v>
      </c>
      <c r="M6" s="14"/>
      <c r="N6" s="14"/>
      <c r="O6" s="14"/>
      <c r="P6" s="14"/>
    </row>
    <row r="7" spans="1:16">
      <c r="A7" s="13" t="s">
        <v>457</v>
      </c>
      <c r="B7" s="16">
        <f>SUMIF('OS&amp;E_FF&amp;E'!F:F,'Payment schedule'!A7,'OS&amp;E_FF&amp;E'!H:H)</f>
        <v>320</v>
      </c>
      <c r="C7" s="14"/>
      <c r="D7" s="13"/>
      <c r="E7" s="13"/>
      <c r="F7" s="13"/>
      <c r="G7" s="13"/>
      <c r="H7" s="14"/>
      <c r="I7" s="14"/>
      <c r="J7" s="14"/>
      <c r="K7" s="14"/>
      <c r="L7" s="14">
        <v>1074</v>
      </c>
      <c r="M7" s="14"/>
      <c r="N7" s="14"/>
      <c r="O7" s="14"/>
      <c r="P7" s="14"/>
    </row>
    <row r="8" spans="1:16">
      <c r="A8" s="13" t="s">
        <v>754</v>
      </c>
      <c r="B8" s="16">
        <f>SUMIF('OS&amp;E_FF&amp;E'!F:F,'Payment schedule'!A8,'OS&amp;E_FF&amp;E'!H:H)</f>
        <v>0</v>
      </c>
      <c r="C8" s="14" t="s">
        <v>755</v>
      </c>
      <c r="D8" s="13"/>
      <c r="E8" s="13"/>
      <c r="F8" s="13"/>
      <c r="G8" s="13"/>
      <c r="H8" s="14"/>
      <c r="I8" s="14"/>
      <c r="J8" s="14"/>
      <c r="K8" s="14">
        <v>951</v>
      </c>
      <c r="L8" s="14"/>
      <c r="M8" s="14"/>
      <c r="N8" s="14"/>
      <c r="O8" s="14"/>
      <c r="P8" s="14"/>
    </row>
    <row r="9" spans="1:16">
      <c r="A9" s="13" t="s">
        <v>460</v>
      </c>
      <c r="B9" s="16">
        <f>SUMIF('OS&amp;E_FF&amp;E'!F:F,'Payment schedule'!A9,'OS&amp;E_FF&amp;E'!H:H)</f>
        <v>9380</v>
      </c>
      <c r="C9" s="14" t="s">
        <v>756</v>
      </c>
      <c r="D9" s="13"/>
      <c r="E9" s="13"/>
      <c r="F9" s="13"/>
      <c r="G9" s="13"/>
      <c r="H9" s="14"/>
      <c r="I9" s="14"/>
      <c r="J9" s="14">
        <v>9991.3700000000008</v>
      </c>
      <c r="K9" s="14"/>
      <c r="L9" s="14">
        <v>5994.83</v>
      </c>
      <c r="M9" s="14">
        <v>3996.55</v>
      </c>
      <c r="N9" s="14"/>
      <c r="O9" s="14"/>
      <c r="P9" s="14"/>
    </row>
    <row r="10" spans="1:16">
      <c r="A10" s="13" t="s">
        <v>757</v>
      </c>
      <c r="B10" s="16">
        <f>SUMIF('OS&amp;E_FF&amp;E'!F:F,'Payment schedule'!A10,'OS&amp;E_FF&amp;E'!H:H)</f>
        <v>0</v>
      </c>
      <c r="C10" s="14" t="s">
        <v>758</v>
      </c>
      <c r="D10" s="13"/>
      <c r="E10" s="13"/>
      <c r="F10" s="13"/>
      <c r="G10" s="13"/>
      <c r="J10" s="14">
        <v>5321.5</v>
      </c>
      <c r="K10" s="14">
        <v>4789.3500000000004</v>
      </c>
      <c r="L10" s="14">
        <v>532.15</v>
      </c>
      <c r="M10" s="14"/>
      <c r="N10" s="14"/>
      <c r="O10" s="14"/>
      <c r="P10" s="14"/>
    </row>
    <row r="11" spans="1:16">
      <c r="A11" s="13" t="s">
        <v>463</v>
      </c>
      <c r="B11" s="16">
        <f>SUMIF('OS&amp;E_FF&amp;E'!F:F,'Payment schedule'!A11,'OS&amp;E_FF&amp;E'!H:H)</f>
        <v>5950</v>
      </c>
      <c r="C11" s="14" t="s">
        <v>759</v>
      </c>
      <c r="D11" s="13"/>
      <c r="E11" s="13"/>
      <c r="F11" s="13"/>
      <c r="G11" s="13"/>
      <c r="H11" s="14"/>
      <c r="I11" s="14"/>
      <c r="J11" s="14"/>
      <c r="K11" s="14"/>
      <c r="L11" s="14">
        <v>2720.1</v>
      </c>
      <c r="M11" s="14"/>
      <c r="N11" s="14"/>
      <c r="O11" s="14"/>
      <c r="P11" s="14"/>
    </row>
    <row r="12" spans="1:16">
      <c r="A12" s="13" t="s">
        <v>545</v>
      </c>
      <c r="B12" s="16">
        <f>SUMIF('OS&amp;E_FF&amp;E'!F:F,'Payment schedule'!A12,'OS&amp;E_FF&amp;E'!H:H)</f>
        <v>3817</v>
      </c>
      <c r="C12" s="14"/>
      <c r="D12" s="13"/>
      <c r="E12" s="13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1" t="s">
        <v>760</v>
      </c>
      <c r="B13" s="16">
        <f>SUMIF('OS&amp;E_FF&amp;E'!F:F,'Payment schedule'!A13,'OS&amp;E_FF&amp;E'!H:H)</f>
        <v>0</v>
      </c>
      <c r="C13" s="14" t="s">
        <v>761</v>
      </c>
      <c r="D13" s="13"/>
      <c r="E13" s="13"/>
      <c r="F13" s="13"/>
      <c r="G13" s="13"/>
      <c r="H13" s="14">
        <v>5000</v>
      </c>
      <c r="I13" s="14"/>
      <c r="J13" s="14"/>
      <c r="K13" s="14"/>
      <c r="L13" s="14">
        <v>7000</v>
      </c>
      <c r="M13" s="14"/>
      <c r="N13" s="14"/>
      <c r="O13" s="14"/>
      <c r="P13" s="14"/>
    </row>
    <row r="14" spans="1:16">
      <c r="A14" s="13" t="s">
        <v>762</v>
      </c>
      <c r="B14" s="16">
        <f>Overview!C31</f>
        <v>15000</v>
      </c>
      <c r="C14" s="14"/>
      <c r="D14" s="13"/>
      <c r="E14" s="13"/>
      <c r="F14" s="13"/>
      <c r="G14" s="13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3" t="s">
        <v>763</v>
      </c>
      <c r="B15" s="16">
        <f>Overview!C19</f>
        <v>5000</v>
      </c>
      <c r="C15" s="14"/>
      <c r="D15" s="13"/>
      <c r="E15" s="13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</row>
    <row r="16" spans="1:16">
      <c r="A16" s="13" t="s">
        <v>764</v>
      </c>
      <c r="B16" s="16">
        <f>Overview!C30</f>
        <v>10645</v>
      </c>
      <c r="C16" s="14"/>
      <c r="D16" s="13"/>
      <c r="E16" s="13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13"/>
      <c r="B17" s="14"/>
      <c r="C17" s="14"/>
      <c r="D17" s="13"/>
      <c r="E17" s="13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13"/>
      <c r="B18" s="14"/>
      <c r="C18" s="14"/>
      <c r="D18" s="13"/>
      <c r="E18" s="13"/>
      <c r="F18" s="13"/>
      <c r="G18" s="13"/>
      <c r="H18" s="22">
        <f>SUM(H2:H17)</f>
        <v>13183.85</v>
      </c>
      <c r="I18" s="22">
        <f t="shared" ref="I18:M18" si="0">SUM(I2:I17)</f>
        <v>0</v>
      </c>
      <c r="J18" s="22">
        <f t="shared" si="0"/>
        <v>61982.98</v>
      </c>
      <c r="K18" s="22">
        <f t="shared" si="0"/>
        <v>41377.07</v>
      </c>
      <c r="L18" s="22">
        <f t="shared" si="0"/>
        <v>19678.580000000002</v>
      </c>
      <c r="M18" s="22">
        <f t="shared" si="0"/>
        <v>34125.58</v>
      </c>
      <c r="N18" s="14"/>
      <c r="O18" s="14"/>
      <c r="P18" s="14"/>
    </row>
    <row r="19" spans="1:16">
      <c r="A19" s="13"/>
      <c r="B19" s="14"/>
      <c r="C19" s="14"/>
      <c r="D19" s="13"/>
      <c r="E19" s="13"/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</row>
    <row r="20" spans="1:16">
      <c r="A20" s="13"/>
      <c r="B20" s="14"/>
      <c r="C20" s="14"/>
      <c r="D20" s="13"/>
      <c r="E20" s="13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13"/>
      <c r="B21" s="14"/>
      <c r="C21" s="14"/>
      <c r="D21" s="13"/>
      <c r="E21" s="13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13"/>
      <c r="B22" s="14"/>
      <c r="C22" s="14"/>
      <c r="D22" s="13"/>
      <c r="E22" s="13"/>
      <c r="F22" s="13"/>
      <c r="G22" s="13"/>
      <c r="H22" s="14"/>
      <c r="I22" s="14"/>
      <c r="J22" s="14"/>
      <c r="K22" s="14"/>
      <c r="L22" s="14"/>
      <c r="M22" s="14"/>
      <c r="N22" s="14"/>
      <c r="O22" s="14"/>
      <c r="P22" s="14"/>
    </row>
    <row r="23" spans="1:16">
      <c r="A23" s="13"/>
      <c r="B23" s="14"/>
      <c r="C23" s="14"/>
      <c r="D23" s="13"/>
      <c r="E23" s="13"/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</row>
    <row r="24" spans="1:16">
      <c r="A24" s="13"/>
      <c r="B24" s="14"/>
      <c r="C24" s="14"/>
      <c r="D24" s="13"/>
      <c r="E24" s="13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</row>
    <row r="25" spans="1:16">
      <c r="A25" s="13"/>
      <c r="B25" s="14"/>
      <c r="C25" s="14"/>
      <c r="D25" s="13"/>
      <c r="E25" s="13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13"/>
      <c r="B26" s="14"/>
      <c r="C26" s="14"/>
      <c r="D26" s="13"/>
      <c r="E26" s="13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</row>
    <row r="27" spans="1:16">
      <c r="A27" s="13"/>
      <c r="B27" s="14"/>
      <c r="C27" s="14"/>
      <c r="D27" s="13"/>
      <c r="E27" s="13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</row>
    <row r="28" spans="1:16">
      <c r="A28" s="13"/>
      <c r="B28" s="14"/>
      <c r="C28" s="14"/>
      <c r="D28" s="13"/>
      <c r="E28" s="13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</row>
    <row r="29" spans="1:16">
      <c r="A29" s="13"/>
      <c r="B29" s="14"/>
      <c r="C29" s="14"/>
      <c r="D29" s="13"/>
      <c r="E29" s="13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</row>
    <row r="31" spans="1:16">
      <c r="G31" s="13"/>
      <c r="H31" s="14"/>
      <c r="I31" s="14"/>
      <c r="J31" s="14"/>
    </row>
    <row r="32" spans="1:16">
      <c r="G32" s="13"/>
      <c r="H32" s="14"/>
      <c r="I32" s="14"/>
      <c r="J32" s="14"/>
    </row>
    <row r="33" spans="7:10">
      <c r="G33" s="13"/>
      <c r="H33" s="14"/>
      <c r="I33" s="14"/>
      <c r="J33" s="14"/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0FC65F781C0C45938DFD26F6DF7F6C" ma:contentTypeVersion="12" ma:contentTypeDescription="Create a new document." ma:contentTypeScope="" ma:versionID="ce06f222b6696230c970fb4711ef7e83">
  <xsd:schema xmlns:xsd="http://www.w3.org/2001/XMLSchema" xmlns:xs="http://www.w3.org/2001/XMLSchema" xmlns:p="http://schemas.microsoft.com/office/2006/metadata/properties" xmlns:ns2="1ad64b9a-36ac-4d27-96d0-0d459f4d9ae4" xmlns:ns3="c2441c27-d543-4a6f-b16c-bf8259eef582" targetNamespace="http://schemas.microsoft.com/office/2006/metadata/properties" ma:root="true" ma:fieldsID="012550c4d2ff4a03b43fef566747b633" ns2:_="" ns3:_="">
    <xsd:import namespace="1ad64b9a-36ac-4d27-96d0-0d459f4d9ae4"/>
    <xsd:import namespace="c2441c27-d543-4a6f-b16c-bf8259ee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64b9a-36ac-4d27-96d0-0d459f4d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ba44fb-7c1a-480a-a822-04be0d4439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41c27-d543-4a6f-b16c-bf8259eef58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b5eb484-3d03-4ee2-a979-384013fc8085}" ma:internalName="TaxCatchAll" ma:showField="CatchAllData" ma:web="c2441c27-d543-4a6f-b16c-bf8259ee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441c27-d543-4a6f-b16c-bf8259eef582" xsi:nil="true"/>
    <lcf76f155ced4ddcb4097134ff3c332f xmlns="1ad64b9a-36ac-4d27-96d0-0d459f4d9a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D715F4-4ABE-4373-88AB-33386810BA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14E671-0ABE-44A3-90BA-2F3AEC3943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d64b9a-36ac-4d27-96d0-0d459f4d9ae4"/>
    <ds:schemaRef ds:uri="c2441c27-d543-4a6f-b16c-bf8259ee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E8E87-288E-47E9-A5FB-2A3569A31B65}">
  <ds:schemaRefs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c2441c27-d543-4a6f-b16c-bf8259eef582"/>
    <ds:schemaRef ds:uri="1ad64b9a-36ac-4d27-96d0-0d459f4d9ae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OS&amp;E_FF&amp;E</vt:lpstr>
      <vt:lpstr>Blad1</vt:lpstr>
      <vt:lpstr>comments</vt:lpstr>
      <vt:lpstr>Payment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Daan Welmers</dc:creator>
  <cp:keywords/>
  <dc:description/>
  <cp:lastModifiedBy>Diederik Schol</cp:lastModifiedBy>
  <cp:revision/>
  <dcterms:created xsi:type="dcterms:W3CDTF">2023-03-21T13:40:40Z</dcterms:created>
  <dcterms:modified xsi:type="dcterms:W3CDTF">2026-07-15T10:25:59Z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0x0101003B0FC65F781C0C45938DFD26F6DF7F6C</vt:lpwstr>
  </property>
  <property fmtid="{D5CDD505-2E9C-101B-9397-08002B2CF9AE}" pid="3" name="MediaServiceImageTags">
    <vt:lpwstr/>
  </property>
</Properties>
</file>