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chol\Documents\uhg-preopening\"/>
    </mc:Choice>
  </mc:AlternateContent>
  <xr:revisionPtr revIDLastSave="0" documentId="13_ncr:1_{425B36BE-8534-4AD3-AB88-E33AAB6CBEA6}" xr6:coauthVersionLast="47" xr6:coauthVersionMax="47" xr10:uidLastSave="{00000000-0000-0000-0000-000000000000}"/>
  <bookViews>
    <workbookView xWindow="28680" yWindow="-120" windowWidth="29040" windowHeight="15720" tabRatio="506" firstSheet="2" activeTab="2" xr2:uid="{C40ED7A9-ABD9-49E2-8DDA-87D889CEC296}"/>
  </bookViews>
  <sheets>
    <sheet name="Invoices" sheetId="2" state="hidden" r:id="rId1"/>
    <sheet name="Model - Capex" sheetId="3" state="hidden" r:id="rId2"/>
    <sheet name="Model - Preopening &amp; Fees" sheetId="5" r:id="rId3"/>
    <sheet name="Summary" sheetId="10" r:id="rId4"/>
    <sheet name="Invoices - Preopening" sheetId="6" r:id="rId5"/>
    <sheet name="Sheet1" sheetId="8" r:id="rId6"/>
    <sheet name="Data Val" sheetId="7" r:id="rId7"/>
  </sheets>
  <externalReferences>
    <externalReference r:id="rId8"/>
  </externalReferences>
  <definedNames>
    <definedName name="_xlnm.Print_Area" localSheetId="1">'Model - Capex'!$AN$26:$AR$26</definedName>
  </definedNames>
  <calcPr calcId="191029" calcMode="autoNoTable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5" l="1"/>
  <c r="G2" i="5"/>
  <c r="F2" i="5"/>
  <c r="AD93" i="5" l="1"/>
  <c r="AD154" i="5"/>
  <c r="AD153" i="5"/>
  <c r="F95" i="5"/>
  <c r="F8" i="10"/>
  <c r="AE125" i="5"/>
  <c r="AR95" i="5"/>
  <c r="AQ95" i="5"/>
  <c r="AP95" i="5"/>
  <c r="AO95" i="5"/>
  <c r="AN95" i="5"/>
  <c r="AM95" i="5"/>
  <c r="AL95" i="5"/>
  <c r="AF95" i="5"/>
  <c r="AE95" i="5"/>
  <c r="AD95" i="5"/>
  <c r="F17" i="10"/>
  <c r="F16" i="10"/>
  <c r="F15" i="10"/>
  <c r="F14" i="10"/>
  <c r="F11" i="10"/>
  <c r="F10" i="10"/>
  <c r="E18" i="10"/>
  <c r="D53" i="6"/>
  <c r="D52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B21" i="6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67" i="7"/>
  <c r="B66" i="7"/>
  <c r="B65" i="7"/>
  <c r="B64" i="7"/>
  <c r="B63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5" i="7"/>
  <c r="B34" i="7"/>
  <c r="B33" i="7"/>
  <c r="B32" i="7"/>
  <c r="B31" i="7"/>
  <c r="B30" i="7"/>
  <c r="B29" i="7"/>
  <c r="B28" i="7"/>
  <c r="F108" i="5"/>
  <c r="F101" i="5"/>
  <c r="F102" i="5"/>
  <c r="F103" i="5"/>
  <c r="F104" i="5"/>
  <c r="F105" i="5"/>
  <c r="F106" i="5"/>
  <c r="F107" i="5"/>
  <c r="F109" i="5"/>
  <c r="AK128" i="5"/>
  <c r="AK138" i="5" s="1"/>
  <c r="AH86" i="5"/>
  <c r="AH95" i="5" s="1"/>
  <c r="AH135" i="5" s="1"/>
  <c r="AI86" i="5"/>
  <c r="AI95" i="5" s="1"/>
  <c r="AI135" i="5" s="1"/>
  <c r="AJ86" i="5"/>
  <c r="AJ95" i="5" s="1"/>
  <c r="AJ135" i="5" s="1"/>
  <c r="AK86" i="5"/>
  <c r="AK95" i="5" s="1"/>
  <c r="AK135" i="5" s="1"/>
  <c r="AG86" i="5"/>
  <c r="AG95" i="5" s="1"/>
  <c r="AG135" i="5" s="1"/>
  <c r="AQ135" i="5"/>
  <c r="AR135" i="5"/>
  <c r="AO135" i="5"/>
  <c r="AP135" i="5"/>
  <c r="AL135" i="5"/>
  <c r="AM135" i="5"/>
  <c r="AN135" i="5"/>
  <c r="AF135" i="5"/>
  <c r="AD135" i="5"/>
  <c r="AE135" i="5"/>
  <c r="F135" i="5"/>
  <c r="AR110" i="5"/>
  <c r="AR136" i="5" s="1"/>
  <c r="AQ110" i="5"/>
  <c r="AQ136" i="5" s="1"/>
  <c r="AP110" i="5"/>
  <c r="AP136" i="5" s="1"/>
  <c r="AO110" i="5"/>
  <c r="AO136" i="5" s="1"/>
  <c r="AN110" i="5"/>
  <c r="AN136" i="5" s="1"/>
  <c r="AM110" i="5"/>
  <c r="AM136" i="5" s="1"/>
  <c r="AL110" i="5"/>
  <c r="AL136" i="5" s="1"/>
  <c r="AK110" i="5"/>
  <c r="AK136" i="5" s="1"/>
  <c r="AJ110" i="5"/>
  <c r="AJ136" i="5" s="1"/>
  <c r="AI110" i="5"/>
  <c r="AI136" i="5" s="1"/>
  <c r="AH110" i="5"/>
  <c r="AH136" i="5" s="1"/>
  <c r="AG110" i="5"/>
  <c r="AG136" i="5" s="1"/>
  <c r="AF110" i="5"/>
  <c r="AF136" i="5" s="1"/>
  <c r="AE110" i="5"/>
  <c r="AE136" i="5" s="1"/>
  <c r="AD110" i="5"/>
  <c r="AD136" i="5" s="1"/>
  <c r="F110" i="5"/>
  <c r="G16" i="8"/>
  <c r="J15" i="8"/>
  <c r="H43" i="6"/>
  <c r="H44" i="6" s="1"/>
  <c r="G43" i="6"/>
  <c r="H30" i="6"/>
  <c r="G30" i="6"/>
  <c r="B74" i="7"/>
  <c r="B73" i="7"/>
  <c r="B72" i="7"/>
  <c r="B71" i="7"/>
  <c r="B70" i="7"/>
  <c r="B69" i="7"/>
  <c r="B68" i="7"/>
  <c r="B62" i="7"/>
  <c r="B36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F35" i="5"/>
  <c r="F36" i="5"/>
  <c r="H2" i="2"/>
  <c r="D4" i="6"/>
  <c r="K43" i="6"/>
  <c r="K44" i="6"/>
  <c r="J45" i="6"/>
  <c r="K45" i="6"/>
  <c r="J46" i="6"/>
  <c r="K46" i="6"/>
  <c r="J47" i="6"/>
  <c r="K47" i="6"/>
  <c r="J48" i="6"/>
  <c r="K48" i="6"/>
  <c r="J49" i="6"/>
  <c r="K49" i="6"/>
  <c r="J50" i="6"/>
  <c r="K50" i="6"/>
  <c r="J51" i="6"/>
  <c r="K51" i="6"/>
  <c r="J52" i="6"/>
  <c r="K52" i="6"/>
  <c r="J53" i="6"/>
  <c r="K53" i="6"/>
  <c r="J54" i="6"/>
  <c r="K54" i="6"/>
  <c r="J55" i="6"/>
  <c r="K55" i="6"/>
  <c r="J56" i="6"/>
  <c r="K56" i="6"/>
  <c r="J57" i="6"/>
  <c r="K57" i="6"/>
  <c r="J58" i="6"/>
  <c r="K58" i="6"/>
  <c r="J59" i="6"/>
  <c r="K59" i="6"/>
  <c r="J60" i="6"/>
  <c r="K60" i="6"/>
  <c r="J61" i="6"/>
  <c r="K61" i="6"/>
  <c r="J62" i="6"/>
  <c r="K62" i="6"/>
  <c r="J63" i="6"/>
  <c r="K63" i="6"/>
  <c r="J64" i="6"/>
  <c r="K64" i="6"/>
  <c r="J65" i="6"/>
  <c r="K65" i="6"/>
  <c r="J66" i="6"/>
  <c r="K66" i="6"/>
  <c r="J67" i="6"/>
  <c r="K67" i="6"/>
  <c r="J68" i="6"/>
  <c r="K68" i="6"/>
  <c r="J69" i="6"/>
  <c r="K69" i="6"/>
  <c r="J70" i="6"/>
  <c r="K70" i="6"/>
  <c r="J71" i="6"/>
  <c r="K71" i="6"/>
  <c r="J72" i="6"/>
  <c r="K72" i="6"/>
  <c r="J73" i="6"/>
  <c r="K73" i="6"/>
  <c r="J74" i="6"/>
  <c r="K74" i="6"/>
  <c r="J75" i="6"/>
  <c r="K75" i="6"/>
  <c r="J76" i="6"/>
  <c r="K76" i="6"/>
  <c r="J77" i="6"/>
  <c r="K77" i="6"/>
  <c r="J78" i="6"/>
  <c r="K78" i="6"/>
  <c r="J79" i="6"/>
  <c r="K79" i="6"/>
  <c r="J80" i="6"/>
  <c r="K80" i="6"/>
  <c r="J81" i="6"/>
  <c r="K81" i="6"/>
  <c r="J82" i="6"/>
  <c r="K82" i="6"/>
  <c r="J83" i="6"/>
  <c r="K83" i="6"/>
  <c r="J84" i="6"/>
  <c r="K84" i="6"/>
  <c r="J85" i="6"/>
  <c r="K85" i="6"/>
  <c r="J86" i="6"/>
  <c r="K86" i="6"/>
  <c r="J87" i="6"/>
  <c r="K87" i="6"/>
  <c r="I17" i="6"/>
  <c r="K42" i="6"/>
  <c r="J41" i="6"/>
  <c r="K41" i="6" s="1"/>
  <c r="K40" i="6"/>
  <c r="K39" i="6"/>
  <c r="J38" i="6"/>
  <c r="K38" i="6" s="1"/>
  <c r="J37" i="6"/>
  <c r="K37" i="6" s="1"/>
  <c r="J36" i="6"/>
  <c r="K36" i="6" s="1"/>
  <c r="J35" i="6"/>
  <c r="K35" i="6" s="1"/>
  <c r="K34" i="6"/>
  <c r="K33" i="6"/>
  <c r="K32" i="6"/>
  <c r="K31" i="6"/>
  <c r="K30" i="6"/>
  <c r="K29" i="6"/>
  <c r="K28" i="6"/>
  <c r="K27" i="6"/>
  <c r="J26" i="6"/>
  <c r="K26" i="6" s="1"/>
  <c r="J25" i="6"/>
  <c r="K25" i="6" s="1"/>
  <c r="J24" i="6"/>
  <c r="K24" i="6" s="1"/>
  <c r="J23" i="6"/>
  <c r="K23" i="6" s="1"/>
  <c r="J22" i="6"/>
  <c r="K22" i="6" s="1"/>
  <c r="J21" i="6"/>
  <c r="K21" i="6" s="1"/>
  <c r="J20" i="6"/>
  <c r="AR66" i="5"/>
  <c r="AR134" i="5" s="1"/>
  <c r="AQ66" i="5"/>
  <c r="AQ134" i="5" s="1"/>
  <c r="AP66" i="5"/>
  <c r="AP134" i="5" s="1"/>
  <c r="AO66" i="5"/>
  <c r="AO134" i="5" s="1"/>
  <c r="AN66" i="5"/>
  <c r="AN134" i="5" s="1"/>
  <c r="AM66" i="5"/>
  <c r="AM134" i="5" s="1"/>
  <c r="AL66" i="5"/>
  <c r="AL134" i="5" s="1"/>
  <c r="AK66" i="5"/>
  <c r="AK134" i="5" s="1"/>
  <c r="AJ66" i="5"/>
  <c r="AJ134" i="5" s="1"/>
  <c r="AI66" i="5"/>
  <c r="AI134" i="5" s="1"/>
  <c r="AH66" i="5"/>
  <c r="AH134" i="5" s="1"/>
  <c r="AG66" i="5"/>
  <c r="AG134" i="5" s="1"/>
  <c r="AF66" i="5"/>
  <c r="AF134" i="5" s="1"/>
  <c r="AE66" i="5"/>
  <c r="AE134" i="5" s="1"/>
  <c r="AD66" i="5"/>
  <c r="AD134" i="5" s="1"/>
  <c r="D160" i="5"/>
  <c r="D138" i="5"/>
  <c r="D137" i="5"/>
  <c r="D135" i="5"/>
  <c r="D134" i="5"/>
  <c r="D133" i="5"/>
  <c r="B161" i="5"/>
  <c r="F156" i="5"/>
  <c r="F161" i="5" s="1"/>
  <c r="F22" i="10" s="1"/>
  <c r="AR156" i="5"/>
  <c r="AR161" i="5" s="1"/>
  <c r="AQ156" i="5"/>
  <c r="AQ161" i="5" s="1"/>
  <c r="AP156" i="5"/>
  <c r="AP161" i="5" s="1"/>
  <c r="AO156" i="5"/>
  <c r="AO161" i="5" s="1"/>
  <c r="AN156" i="5"/>
  <c r="AN161" i="5" s="1"/>
  <c r="AM156" i="5"/>
  <c r="AM161" i="5" s="1"/>
  <c r="AL156" i="5"/>
  <c r="AL161" i="5" s="1"/>
  <c r="AK156" i="5"/>
  <c r="AK161" i="5" s="1"/>
  <c r="AJ156" i="5"/>
  <c r="AJ161" i="5" s="1"/>
  <c r="AI156" i="5"/>
  <c r="AI161" i="5" s="1"/>
  <c r="AH156" i="5"/>
  <c r="AH161" i="5" s="1"/>
  <c r="AG156" i="5"/>
  <c r="AG161" i="5" s="1"/>
  <c r="AF156" i="5"/>
  <c r="AF161" i="5" s="1"/>
  <c r="AE156" i="5"/>
  <c r="AE161" i="5" s="1"/>
  <c r="F146" i="5"/>
  <c r="F160" i="5" s="1"/>
  <c r="F21" i="10" s="1"/>
  <c r="F128" i="5"/>
  <c r="F138" i="5" s="1"/>
  <c r="AD128" i="5"/>
  <c r="AD138" i="5" s="1"/>
  <c r="AE128" i="5"/>
  <c r="AE138" i="5" s="1"/>
  <c r="AF128" i="5"/>
  <c r="AF138" i="5" s="1"/>
  <c r="AG128" i="5"/>
  <c r="AG138" i="5" s="1"/>
  <c r="AH128" i="5"/>
  <c r="AH138" i="5" s="1"/>
  <c r="AI128" i="5"/>
  <c r="AI138" i="5" s="1"/>
  <c r="AJ128" i="5"/>
  <c r="AJ138" i="5" s="1"/>
  <c r="AL128" i="5"/>
  <c r="AL138" i="5" s="1"/>
  <c r="AN128" i="5"/>
  <c r="AN138" i="5" s="1"/>
  <c r="AO128" i="5"/>
  <c r="AO138" i="5" s="1"/>
  <c r="AP128" i="5"/>
  <c r="AP138" i="5" s="1"/>
  <c r="AQ128" i="5"/>
  <c r="AQ138" i="5" s="1"/>
  <c r="AR128" i="5"/>
  <c r="AR138" i="5" s="1"/>
  <c r="AD117" i="5"/>
  <c r="AD137" i="5" s="1"/>
  <c r="AE117" i="5"/>
  <c r="AE137" i="5" s="1"/>
  <c r="AF117" i="5"/>
  <c r="AF137" i="5" s="1"/>
  <c r="AG117" i="5"/>
  <c r="AG137" i="5" s="1"/>
  <c r="AH117" i="5"/>
  <c r="AH137" i="5" s="1"/>
  <c r="AI117" i="5"/>
  <c r="AI137" i="5" s="1"/>
  <c r="AJ117" i="5"/>
  <c r="AJ137" i="5" s="1"/>
  <c r="AK117" i="5"/>
  <c r="AK137" i="5" s="1"/>
  <c r="AL117" i="5"/>
  <c r="AL137" i="5" s="1"/>
  <c r="AM117" i="5"/>
  <c r="AM137" i="5" s="1"/>
  <c r="AN117" i="5"/>
  <c r="AN137" i="5" s="1"/>
  <c r="AO117" i="5"/>
  <c r="AO137" i="5" s="1"/>
  <c r="AP117" i="5"/>
  <c r="AP137" i="5" s="1"/>
  <c r="AQ117" i="5"/>
  <c r="AQ137" i="5" s="1"/>
  <c r="AR117" i="5"/>
  <c r="AR137" i="5" s="1"/>
  <c r="F117" i="5"/>
  <c r="F66" i="5"/>
  <c r="AD156" i="5" l="1"/>
  <c r="AD161" i="5" s="1"/>
  <c r="F136" i="5"/>
  <c r="F12" i="10"/>
  <c r="F137" i="5"/>
  <c r="F13" i="10"/>
  <c r="F134" i="5"/>
  <c r="F9" i="10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1" i="6"/>
  <c r="H21" i="8"/>
  <c r="G44" i="6"/>
  <c r="G31" i="6"/>
  <c r="H31" i="6"/>
  <c r="G32" i="6"/>
  <c r="G33" i="6" s="1"/>
  <c r="G34" i="6" s="1"/>
  <c r="D161" i="5"/>
  <c r="K20" i="6"/>
  <c r="K17" i="6" s="1"/>
  <c r="J17" i="6"/>
  <c r="AR133" i="5"/>
  <c r="AR139" i="5" s="1"/>
  <c r="AR159" i="5" s="1"/>
  <c r="AR146" i="5"/>
  <c r="AR160" i="5" s="1"/>
  <c r="AQ133" i="5"/>
  <c r="AQ139" i="5" s="1"/>
  <c r="AQ159" i="5" s="1"/>
  <c r="AQ146" i="5"/>
  <c r="AQ160" i="5" s="1"/>
  <c r="AP133" i="5"/>
  <c r="AP139" i="5" s="1"/>
  <c r="AP159" i="5" s="1"/>
  <c r="AO133" i="5"/>
  <c r="AO139" i="5" s="1"/>
  <c r="AO159" i="5" s="1"/>
  <c r="AO146" i="5"/>
  <c r="AO160" i="5" s="1"/>
  <c r="AN133" i="5"/>
  <c r="AN139" i="5" s="1"/>
  <c r="AN159" i="5" s="1"/>
  <c r="AN146" i="5"/>
  <c r="AN160" i="5" s="1"/>
  <c r="AM133" i="5"/>
  <c r="AL133" i="5"/>
  <c r="AL139" i="5" s="1"/>
  <c r="AL159" i="5" s="1"/>
  <c r="AL146" i="5"/>
  <c r="AL160" i="5" s="1"/>
  <c r="AK133" i="5"/>
  <c r="AK139" i="5" s="1"/>
  <c r="AK159" i="5" s="1"/>
  <c r="AK146" i="5"/>
  <c r="AK160" i="5" s="1"/>
  <c r="AJ133" i="5"/>
  <c r="AJ139" i="5" s="1"/>
  <c r="AJ159" i="5" s="1"/>
  <c r="AI133" i="5"/>
  <c r="AI139" i="5" s="1"/>
  <c r="AI159" i="5" s="1"/>
  <c r="AI146" i="5"/>
  <c r="AI160" i="5" s="1"/>
  <c r="AH133" i="5"/>
  <c r="AH139" i="5" s="1"/>
  <c r="AH159" i="5" s="1"/>
  <c r="AH146" i="5"/>
  <c r="AH160" i="5" s="1"/>
  <c r="AG133" i="5"/>
  <c r="AG139" i="5" s="1"/>
  <c r="AG159" i="5" s="1"/>
  <c r="AF133" i="5"/>
  <c r="AF139" i="5" s="1"/>
  <c r="AF159" i="5" s="1"/>
  <c r="AF146" i="5"/>
  <c r="AF160" i="5" s="1"/>
  <c r="AE133" i="5"/>
  <c r="AE139" i="5" s="1"/>
  <c r="AE159" i="5" s="1"/>
  <c r="AE146" i="5"/>
  <c r="AE160" i="5" s="1"/>
  <c r="AD133" i="5"/>
  <c r="AD139" i="5" s="1"/>
  <c r="AD159" i="5" s="1"/>
  <c r="AR162" i="5" l="1"/>
  <c r="AQ162" i="5"/>
  <c r="AO162" i="5"/>
  <c r="AN162" i="5"/>
  <c r="AL162" i="5"/>
  <c r="AK162" i="5"/>
  <c r="AI162" i="5"/>
  <c r="AH162" i="5"/>
  <c r="AF162" i="5"/>
  <c r="AE162" i="5"/>
  <c r="G10" i="6"/>
  <c r="K10" i="6"/>
  <c r="J10" i="6"/>
  <c r="I10" i="6"/>
  <c r="G8" i="6"/>
  <c r="I13" i="6"/>
  <c r="J8" i="6"/>
  <c r="I12" i="6"/>
  <c r="I8" i="6"/>
  <c r="I7" i="6"/>
  <c r="K7" i="6"/>
  <c r="I14" i="6"/>
  <c r="G11" i="6"/>
  <c r="I9" i="6"/>
  <c r="G14" i="6"/>
  <c r="J7" i="6"/>
  <c r="G13" i="6"/>
  <c r="G12" i="6"/>
  <c r="G9" i="6"/>
  <c r="J14" i="6"/>
  <c r="J13" i="6"/>
  <c r="I11" i="6"/>
  <c r="K13" i="6"/>
  <c r="K12" i="6"/>
  <c r="J12" i="6"/>
  <c r="K11" i="6"/>
  <c r="J11" i="6"/>
  <c r="K9" i="6"/>
  <c r="J9" i="6"/>
  <c r="K8" i="6"/>
  <c r="K14" i="6"/>
  <c r="H32" i="6"/>
  <c r="G7" i="6"/>
  <c r="AD146" i="5"/>
  <c r="AD160" i="5" s="1"/>
  <c r="AD162" i="5" s="1"/>
  <c r="AG146" i="5"/>
  <c r="AG160" i="5" s="1"/>
  <c r="AG162" i="5" s="1"/>
  <c r="AJ146" i="5"/>
  <c r="AJ160" i="5" s="1"/>
  <c r="AJ162" i="5" s="1"/>
  <c r="AM146" i="5"/>
  <c r="AM160" i="5" s="1"/>
  <c r="AP146" i="5"/>
  <c r="AP160" i="5" s="1"/>
  <c r="AP162" i="5" s="1"/>
  <c r="H33" i="6" l="1"/>
  <c r="I15" i="6"/>
  <c r="J15" i="6"/>
  <c r="K15" i="6"/>
  <c r="G15" i="6"/>
  <c r="I4" i="6" l="1"/>
  <c r="H34" i="6"/>
  <c r="L76" i="5" s="1"/>
  <c r="L14" i="5"/>
  <c r="L47" i="5" l="1"/>
  <c r="L44" i="5"/>
  <c r="L41" i="5"/>
  <c r="L40" i="5"/>
  <c r="L37" i="5"/>
  <c r="L36" i="5"/>
  <c r="L101" i="5"/>
  <c r="L34" i="5"/>
  <c r="L33" i="5"/>
  <c r="L30" i="5"/>
  <c r="L29" i="5"/>
  <c r="L26" i="5"/>
  <c r="L25" i="5"/>
  <c r="L22" i="5"/>
  <c r="L21" i="5"/>
  <c r="L20" i="5"/>
  <c r="L19" i="5"/>
  <c r="L18" i="5"/>
  <c r="L15" i="5"/>
  <c r="L155" i="5"/>
  <c r="L154" i="5"/>
  <c r="L153" i="5"/>
  <c r="L152" i="5"/>
  <c r="L151" i="5"/>
  <c r="L145" i="5"/>
  <c r="L144" i="5"/>
  <c r="L146" i="5" s="1"/>
  <c r="L160" i="5" s="1"/>
  <c r="L127" i="5"/>
  <c r="L126" i="5"/>
  <c r="L125" i="5"/>
  <c r="L124" i="5"/>
  <c r="L123" i="5"/>
  <c r="L122" i="5"/>
  <c r="L116" i="5"/>
  <c r="L115" i="5"/>
  <c r="L109" i="5"/>
  <c r="L108" i="5"/>
  <c r="L107" i="5"/>
  <c r="L106" i="5"/>
  <c r="L105" i="5"/>
  <c r="L104" i="5"/>
  <c r="L103" i="5"/>
  <c r="L102" i="5"/>
  <c r="L35" i="5"/>
  <c r="L100" i="5"/>
  <c r="L94" i="5"/>
  <c r="L93" i="5"/>
  <c r="L92" i="5"/>
  <c r="L89" i="5"/>
  <c r="L88" i="5"/>
  <c r="L87" i="5"/>
  <c r="L86" i="5"/>
  <c r="L85" i="5"/>
  <c r="L82" i="5"/>
  <c r="L81" i="5"/>
  <c r="L80" i="5"/>
  <c r="L79" i="5"/>
  <c r="L75" i="5"/>
  <c r="L74" i="5"/>
  <c r="L73" i="5"/>
  <c r="L65" i="5"/>
  <c r="L64" i="5"/>
  <c r="L63" i="5"/>
  <c r="L62" i="5"/>
  <c r="L61" i="5"/>
  <c r="L60" i="5"/>
  <c r="L59" i="5"/>
  <c r="L58" i="5"/>
  <c r="L57" i="5"/>
  <c r="L51" i="5"/>
  <c r="L50" i="5"/>
  <c r="L49" i="5"/>
  <c r="L48" i="5"/>
  <c r="L117" i="5"/>
  <c r="L137" i="5" s="1"/>
  <c r="L66" i="5" l="1"/>
  <c r="L134" i="5" s="1"/>
  <c r="L52" i="5"/>
  <c r="L133" i="5" s="1"/>
  <c r="L156" i="5"/>
  <c r="L161" i="5" s="1"/>
  <c r="L110" i="5"/>
  <c r="L136" i="5" s="1"/>
  <c r="L128" i="5"/>
  <c r="L138" i="5" s="1"/>
  <c r="L95" i="5"/>
  <c r="L135" i="5" s="1"/>
  <c r="AU7" i="5"/>
  <c r="M7" i="5"/>
  <c r="AU6" i="5"/>
  <c r="M6" i="5"/>
  <c r="M76" i="5" s="1"/>
  <c r="AU5" i="5"/>
  <c r="Q5" i="5"/>
  <c r="T5" i="5" s="1"/>
  <c r="W5" i="5" s="1"/>
  <c r="Z5" i="5" s="1"/>
  <c r="AC5" i="5" s="1"/>
  <c r="AF5" i="5" s="1"/>
  <c r="AI5" i="5" s="1"/>
  <c r="AL5" i="5" s="1"/>
  <c r="AO5" i="5" s="1"/>
  <c r="AR5" i="5" s="1"/>
  <c r="P5" i="5"/>
  <c r="S5" i="5" s="1"/>
  <c r="V5" i="5" s="1"/>
  <c r="Y5" i="5" s="1"/>
  <c r="AB5" i="5" s="1"/>
  <c r="AE5" i="5" s="1"/>
  <c r="AH5" i="5" s="1"/>
  <c r="AK5" i="5" s="1"/>
  <c r="AN5" i="5" s="1"/>
  <c r="AQ5" i="5" s="1"/>
  <c r="O5" i="5"/>
  <c r="L2" i="2"/>
  <c r="J2" i="2"/>
  <c r="I2" i="2"/>
  <c r="G4" i="3"/>
  <c r="J3" i="3"/>
  <c r="K3" i="3"/>
  <c r="M3" i="3"/>
  <c r="N3" i="3"/>
  <c r="P3" i="3"/>
  <c r="Q3" i="3"/>
  <c r="S3" i="3"/>
  <c r="T3" i="3"/>
  <c r="V3" i="3"/>
  <c r="W3" i="3"/>
  <c r="Y3" i="3"/>
  <c r="Z3" i="3"/>
  <c r="AB3" i="3"/>
  <c r="AC3" i="3"/>
  <c r="AE3" i="3"/>
  <c r="AF3" i="3"/>
  <c r="AH3" i="3"/>
  <c r="AI3" i="3"/>
  <c r="AK3" i="3"/>
  <c r="AL3" i="3"/>
  <c r="I3" i="3"/>
  <c r="AO3" i="3"/>
  <c r="AP3" i="3" s="1"/>
  <c r="AQ3" i="3" s="1"/>
  <c r="AR3" i="3" s="1"/>
  <c r="AO4" i="3"/>
  <c r="AO5" i="3"/>
  <c r="D12" i="3"/>
  <c r="L139" i="5" l="1"/>
  <c r="L159" i="5"/>
  <c r="L162" i="5" s="1"/>
  <c r="M154" i="5"/>
  <c r="M153" i="5"/>
  <c r="M152" i="5"/>
  <c r="M151" i="5"/>
  <c r="M145" i="5"/>
  <c r="M144" i="5"/>
  <c r="M127" i="5"/>
  <c r="M126" i="5"/>
  <c r="M125" i="5"/>
  <c r="M124" i="5"/>
  <c r="M123" i="5"/>
  <c r="M122" i="5"/>
  <c r="M116" i="5"/>
  <c r="M115" i="5"/>
  <c r="M109" i="5"/>
  <c r="M108" i="5"/>
  <c r="M107" i="5"/>
  <c r="M106" i="5"/>
  <c r="M105" i="5"/>
  <c r="M104" i="5"/>
  <c r="M103" i="5"/>
  <c r="M102" i="5"/>
  <c r="M101" i="5"/>
  <c r="M100" i="5"/>
  <c r="M94" i="5"/>
  <c r="M93" i="5"/>
  <c r="M92" i="5"/>
  <c r="M89" i="5"/>
  <c r="M88" i="5"/>
  <c r="M87" i="5"/>
  <c r="M86" i="5"/>
  <c r="M85" i="5"/>
  <c r="M82" i="5"/>
  <c r="M81" i="5"/>
  <c r="M80" i="5"/>
  <c r="M79" i="5"/>
  <c r="M75" i="5"/>
  <c r="M74" i="5"/>
  <c r="M73" i="5"/>
  <c r="M65" i="5"/>
  <c r="M64" i="5"/>
  <c r="M63" i="5"/>
  <c r="M62" i="5"/>
  <c r="M61" i="5"/>
  <c r="M60" i="5"/>
  <c r="M59" i="5"/>
  <c r="M58" i="5"/>
  <c r="M57" i="5"/>
  <c r="M51" i="5"/>
  <c r="M50" i="5"/>
  <c r="M49" i="5"/>
  <c r="M48" i="5"/>
  <c r="M47" i="5"/>
  <c r="M155" i="5"/>
  <c r="M41" i="5"/>
  <c r="M40" i="5"/>
  <c r="M37" i="5"/>
  <c r="M36" i="5"/>
  <c r="M35" i="5"/>
  <c r="M34" i="5"/>
  <c r="M33" i="5"/>
  <c r="M30" i="5"/>
  <c r="M44" i="5"/>
  <c r="M26" i="5"/>
  <c r="M25" i="5"/>
  <c r="M22" i="5"/>
  <c r="M21" i="5"/>
  <c r="M20" i="5"/>
  <c r="M19" i="5"/>
  <c r="M18" i="5"/>
  <c r="M15" i="5"/>
  <c r="M29" i="5"/>
  <c r="AV7" i="5"/>
  <c r="AV6" i="5"/>
  <c r="N6" i="5"/>
  <c r="M14" i="5"/>
  <c r="AS3" i="3"/>
  <c r="AT3" i="3" s="1"/>
  <c r="AU3" i="3" s="1"/>
  <c r="AV3" i="3" s="1"/>
  <c r="AW3" i="3" s="1"/>
  <c r="AX3" i="3" s="1"/>
  <c r="R5" i="5"/>
  <c r="AV5" i="5"/>
  <c r="N7" i="5"/>
  <c r="L3" i="3"/>
  <c r="AP4" i="3"/>
  <c r="AP5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L14" i="3" s="1"/>
  <c r="F13" i="3"/>
  <c r="D13" i="3" s="1"/>
  <c r="M95" i="5" l="1"/>
  <c r="N76" i="5"/>
  <c r="N155" i="5"/>
  <c r="N154" i="5"/>
  <c r="N153" i="5"/>
  <c r="N152" i="5"/>
  <c r="N151" i="5"/>
  <c r="N145" i="5"/>
  <c r="N144" i="5"/>
  <c r="N127" i="5"/>
  <c r="N126" i="5"/>
  <c r="N125" i="5"/>
  <c r="N124" i="5"/>
  <c r="N123" i="5"/>
  <c r="N122" i="5"/>
  <c r="N116" i="5"/>
  <c r="N115" i="5"/>
  <c r="N109" i="5"/>
  <c r="N108" i="5"/>
  <c r="N107" i="5"/>
  <c r="N106" i="5"/>
  <c r="N105" i="5"/>
  <c r="N104" i="5"/>
  <c r="N103" i="5"/>
  <c r="N102" i="5"/>
  <c r="N101" i="5"/>
  <c r="N100" i="5"/>
  <c r="N94" i="5"/>
  <c r="N93" i="5"/>
  <c r="N92" i="5"/>
  <c r="N89" i="5"/>
  <c r="N88" i="5"/>
  <c r="N87" i="5"/>
  <c r="N86" i="5"/>
  <c r="N85" i="5"/>
  <c r="N82" i="5"/>
  <c r="N81" i="5"/>
  <c r="N80" i="5"/>
  <c r="N79" i="5"/>
  <c r="N75" i="5"/>
  <c r="N74" i="5"/>
  <c r="N73" i="5"/>
  <c r="N65" i="5"/>
  <c r="N64" i="5"/>
  <c r="N63" i="5"/>
  <c r="N62" i="5"/>
  <c r="N61" i="5"/>
  <c r="N60" i="5"/>
  <c r="N59" i="5"/>
  <c r="N58" i="5"/>
  <c r="N57" i="5"/>
  <c r="N51" i="5"/>
  <c r="N50" i="5"/>
  <c r="N49" i="5"/>
  <c r="N48" i="5"/>
  <c r="N47" i="5"/>
  <c r="N44" i="5"/>
  <c r="N41" i="5"/>
  <c r="N40" i="5"/>
  <c r="N37" i="5"/>
  <c r="N36" i="5"/>
  <c r="N35" i="5"/>
  <c r="N34" i="5"/>
  <c r="N33" i="5"/>
  <c r="N30" i="5"/>
  <c r="N29" i="5"/>
  <c r="N26" i="5"/>
  <c r="N25" i="5"/>
  <c r="N22" i="5"/>
  <c r="N21" i="5"/>
  <c r="N20" i="5"/>
  <c r="N19" i="5"/>
  <c r="N18" i="5"/>
  <c r="N15" i="5"/>
  <c r="AW6" i="5"/>
  <c r="AW7" i="5"/>
  <c r="M110" i="5"/>
  <c r="M136" i="5" s="1"/>
  <c r="M156" i="5"/>
  <c r="M161" i="5" s="1"/>
  <c r="M146" i="5"/>
  <c r="M160" i="5" s="1"/>
  <c r="M128" i="5"/>
  <c r="M117" i="5"/>
  <c r="M66" i="5"/>
  <c r="M52" i="5"/>
  <c r="N14" i="5"/>
  <c r="U5" i="5"/>
  <c r="O7" i="5"/>
  <c r="O6" i="5"/>
  <c r="O76" i="5" s="1"/>
  <c r="AW5" i="5"/>
  <c r="O3" i="3"/>
  <c r="R3" i="3" s="1"/>
  <c r="U3" i="3" s="1"/>
  <c r="X3" i="3" s="1"/>
  <c r="AA3" i="3" s="1"/>
  <c r="AD3" i="3" s="1"/>
  <c r="AG3" i="3" s="1"/>
  <c r="AJ3" i="3" s="1"/>
  <c r="AQ5" i="3"/>
  <c r="AQ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N95" i="5" l="1"/>
  <c r="N135" i="5" s="1"/>
  <c r="O154" i="5"/>
  <c r="O153" i="5"/>
  <c r="O152" i="5"/>
  <c r="O151" i="5"/>
  <c r="O145" i="5"/>
  <c r="O144" i="5"/>
  <c r="O127" i="5"/>
  <c r="O126" i="5"/>
  <c r="O125" i="5"/>
  <c r="O124" i="5"/>
  <c r="O123" i="5"/>
  <c r="O122" i="5"/>
  <c r="O116" i="5"/>
  <c r="O115" i="5"/>
  <c r="O109" i="5"/>
  <c r="O108" i="5"/>
  <c r="O107" i="5"/>
  <c r="O106" i="5"/>
  <c r="O105" i="5"/>
  <c r="O104" i="5"/>
  <c r="O103" i="5"/>
  <c r="O102" i="5"/>
  <c r="O101" i="5"/>
  <c r="O100" i="5"/>
  <c r="O94" i="5"/>
  <c r="O93" i="5"/>
  <c r="O92" i="5"/>
  <c r="O89" i="5"/>
  <c r="O88" i="5"/>
  <c r="O87" i="5"/>
  <c r="O86" i="5"/>
  <c r="O85" i="5"/>
  <c r="O82" i="5"/>
  <c r="O81" i="5"/>
  <c r="O80" i="5"/>
  <c r="O79" i="5"/>
  <c r="O75" i="5"/>
  <c r="O74" i="5"/>
  <c r="O73" i="5"/>
  <c r="O65" i="5"/>
  <c r="O64" i="5"/>
  <c r="O63" i="5"/>
  <c r="O62" i="5"/>
  <c r="O61" i="5"/>
  <c r="O60" i="5"/>
  <c r="O59" i="5"/>
  <c r="O58" i="5"/>
  <c r="O57" i="5"/>
  <c r="O51" i="5"/>
  <c r="O50" i="5"/>
  <c r="O49" i="5"/>
  <c r="O48" i="5"/>
  <c r="O47" i="5"/>
  <c r="O155" i="5"/>
  <c r="O41" i="5"/>
  <c r="O40" i="5"/>
  <c r="O37" i="5"/>
  <c r="O36" i="5"/>
  <c r="O35" i="5"/>
  <c r="O34" i="5"/>
  <c r="O33" i="5"/>
  <c r="O30" i="5"/>
  <c r="O44" i="5"/>
  <c r="O26" i="5"/>
  <c r="O25" i="5"/>
  <c r="O22" i="5"/>
  <c r="O21" i="5"/>
  <c r="O20" i="5"/>
  <c r="O19" i="5"/>
  <c r="O18" i="5"/>
  <c r="O15" i="5"/>
  <c r="O29" i="5"/>
  <c r="N117" i="5"/>
  <c r="N137" i="5" s="1"/>
  <c r="AX6" i="5"/>
  <c r="AX7" i="5"/>
  <c r="N110" i="5"/>
  <c r="N136" i="5" s="1"/>
  <c r="M138" i="5"/>
  <c r="M137" i="5"/>
  <c r="M135" i="5"/>
  <c r="M134" i="5"/>
  <c r="M133" i="5"/>
  <c r="N66" i="5"/>
  <c r="N134" i="5" s="1"/>
  <c r="N156" i="5"/>
  <c r="N161" i="5" s="1"/>
  <c r="N146" i="5"/>
  <c r="N160" i="5" s="1"/>
  <c r="N128" i="5"/>
  <c r="N138" i="5" s="1"/>
  <c r="N52" i="5"/>
  <c r="N133" i="5" s="1"/>
  <c r="O14" i="5"/>
  <c r="X5" i="5"/>
  <c r="AX5" i="5"/>
  <c r="P7" i="5"/>
  <c r="P6" i="5"/>
  <c r="P76" i="5" s="1"/>
  <c r="D14" i="3"/>
  <c r="AR5" i="3"/>
  <c r="AR4" i="3"/>
  <c r="M139" i="5" l="1"/>
  <c r="M159" i="5" s="1"/>
  <c r="M162" i="5" s="1"/>
  <c r="O95" i="5"/>
  <c r="O135" i="5" s="1"/>
  <c r="P153" i="5"/>
  <c r="P152" i="5"/>
  <c r="P151" i="5"/>
  <c r="P145" i="5"/>
  <c r="P144" i="5"/>
  <c r="P127" i="5"/>
  <c r="P126" i="5"/>
  <c r="P125" i="5"/>
  <c r="P124" i="5"/>
  <c r="P123" i="5"/>
  <c r="P122" i="5"/>
  <c r="P116" i="5"/>
  <c r="P115" i="5"/>
  <c r="P109" i="5"/>
  <c r="P108" i="5"/>
  <c r="P107" i="5"/>
  <c r="P106" i="5"/>
  <c r="P105" i="5"/>
  <c r="P104" i="5"/>
  <c r="P103" i="5"/>
  <c r="P102" i="5"/>
  <c r="P101" i="5"/>
  <c r="P100" i="5"/>
  <c r="P94" i="5"/>
  <c r="P93" i="5"/>
  <c r="P92" i="5"/>
  <c r="P89" i="5"/>
  <c r="P88" i="5"/>
  <c r="P87" i="5"/>
  <c r="P86" i="5"/>
  <c r="P85" i="5"/>
  <c r="P82" i="5"/>
  <c r="P81" i="5"/>
  <c r="P80" i="5"/>
  <c r="P79" i="5"/>
  <c r="P75" i="5"/>
  <c r="P74" i="5"/>
  <c r="P73" i="5"/>
  <c r="P65" i="5"/>
  <c r="P64" i="5"/>
  <c r="P63" i="5"/>
  <c r="P62" i="5"/>
  <c r="P61" i="5"/>
  <c r="P60" i="5"/>
  <c r="P59" i="5"/>
  <c r="P58" i="5"/>
  <c r="P57" i="5"/>
  <c r="P51" i="5"/>
  <c r="P50" i="5"/>
  <c r="P49" i="5"/>
  <c r="P48" i="5"/>
  <c r="P47" i="5"/>
  <c r="P44" i="5"/>
  <c r="P155" i="5"/>
  <c r="P40" i="5"/>
  <c r="P37" i="5"/>
  <c r="P36" i="5"/>
  <c r="P35" i="5"/>
  <c r="P34" i="5"/>
  <c r="P33" i="5"/>
  <c r="P30" i="5"/>
  <c r="P29" i="5"/>
  <c r="P41" i="5"/>
  <c r="P25" i="5"/>
  <c r="P22" i="5"/>
  <c r="P21" i="5"/>
  <c r="P20" i="5"/>
  <c r="P19" i="5"/>
  <c r="P18" i="5"/>
  <c r="P15" i="5"/>
  <c r="P154" i="5"/>
  <c r="P26" i="5"/>
  <c r="N139" i="5"/>
  <c r="N159" i="5" s="1"/>
  <c r="N162" i="5" s="1"/>
  <c r="AY6" i="5"/>
  <c r="AY7" i="5"/>
  <c r="O110" i="5"/>
  <c r="O136" i="5" s="1"/>
  <c r="O156" i="5"/>
  <c r="O161" i="5" s="1"/>
  <c r="O146" i="5"/>
  <c r="O160" i="5" s="1"/>
  <c r="O128" i="5"/>
  <c r="O138" i="5" s="1"/>
  <c r="O117" i="5"/>
  <c r="O66" i="5"/>
  <c r="O134" i="5" s="1"/>
  <c r="O52" i="5"/>
  <c r="O133" i="5" s="1"/>
  <c r="P14" i="5"/>
  <c r="AA5" i="5"/>
  <c r="Q7" i="5"/>
  <c r="Q6" i="5"/>
  <c r="Q76" i="5" s="1"/>
  <c r="AY5" i="5"/>
  <c r="AS4" i="3"/>
  <c r="AS5" i="3"/>
  <c r="P95" i="5" l="1"/>
  <c r="P135" i="5" s="1"/>
  <c r="Q153" i="5"/>
  <c r="Q152" i="5"/>
  <c r="Q151" i="5"/>
  <c r="Q145" i="5"/>
  <c r="Q144" i="5"/>
  <c r="Q127" i="5"/>
  <c r="Q126" i="5"/>
  <c r="Q125" i="5"/>
  <c r="Q124" i="5"/>
  <c r="Q123" i="5"/>
  <c r="Q122" i="5"/>
  <c r="Q116" i="5"/>
  <c r="Q115" i="5"/>
  <c r="Q109" i="5"/>
  <c r="Q108" i="5"/>
  <c r="Q107" i="5"/>
  <c r="Q106" i="5"/>
  <c r="Q105" i="5"/>
  <c r="Q104" i="5"/>
  <c r="Q103" i="5"/>
  <c r="Q102" i="5"/>
  <c r="Q101" i="5"/>
  <c r="Q100" i="5"/>
  <c r="Q94" i="5"/>
  <c r="Q93" i="5"/>
  <c r="Q92" i="5"/>
  <c r="Q89" i="5"/>
  <c r="Q88" i="5"/>
  <c r="Q87" i="5"/>
  <c r="Q86" i="5"/>
  <c r="Q85" i="5"/>
  <c r="Q82" i="5"/>
  <c r="Q81" i="5"/>
  <c r="Q80" i="5"/>
  <c r="Q79" i="5"/>
  <c r="Q75" i="5"/>
  <c r="Q74" i="5"/>
  <c r="Q73" i="5"/>
  <c r="Q65" i="5"/>
  <c r="Q64" i="5"/>
  <c r="Q63" i="5"/>
  <c r="Q62" i="5"/>
  <c r="Q61" i="5"/>
  <c r="Q60" i="5"/>
  <c r="Q59" i="5"/>
  <c r="Q58" i="5"/>
  <c r="Q57" i="5"/>
  <c r="Q51" i="5"/>
  <c r="Q50" i="5"/>
  <c r="Q49" i="5"/>
  <c r="Q48" i="5"/>
  <c r="Q47" i="5"/>
  <c r="Q44" i="5"/>
  <c r="Q155" i="5"/>
  <c r="Q40" i="5"/>
  <c r="Q37" i="5"/>
  <c r="Q36" i="5"/>
  <c r="Q35" i="5"/>
  <c r="Q34" i="5"/>
  <c r="Q33" i="5"/>
  <c r="Q30" i="5"/>
  <c r="Q29" i="5"/>
  <c r="Q41" i="5"/>
  <c r="Q25" i="5"/>
  <c r="Q22" i="5"/>
  <c r="Q21" i="5"/>
  <c r="Q20" i="5"/>
  <c r="Q19" i="5"/>
  <c r="Q18" i="5"/>
  <c r="Q15" i="5"/>
  <c r="Q154" i="5"/>
  <c r="Q26" i="5"/>
  <c r="AZ6" i="5"/>
  <c r="AZ7" i="5"/>
  <c r="P110" i="5"/>
  <c r="P136" i="5" s="1"/>
  <c r="O137" i="5"/>
  <c r="O139" i="5" s="1"/>
  <c r="O159" i="5" s="1"/>
  <c r="O162" i="5" s="1"/>
  <c r="P156" i="5"/>
  <c r="P161" i="5" s="1"/>
  <c r="P146" i="5"/>
  <c r="P160" i="5" s="1"/>
  <c r="P128" i="5"/>
  <c r="P138" i="5" s="1"/>
  <c r="P117" i="5"/>
  <c r="P137" i="5" s="1"/>
  <c r="P66" i="5"/>
  <c r="P134" i="5" s="1"/>
  <c r="P52" i="5"/>
  <c r="P133" i="5" s="1"/>
  <c r="Q14" i="5"/>
  <c r="AD5" i="5"/>
  <c r="AZ5" i="5"/>
  <c r="R7" i="5"/>
  <c r="R6" i="5"/>
  <c r="R76" i="5" s="1"/>
  <c r="AT5" i="3"/>
  <c r="AT4" i="3"/>
  <c r="Q95" i="5" l="1"/>
  <c r="Q135" i="5" s="1"/>
  <c r="R153" i="5"/>
  <c r="R152" i="5"/>
  <c r="R151" i="5"/>
  <c r="R145" i="5"/>
  <c r="R144" i="5"/>
  <c r="R127" i="5"/>
  <c r="R126" i="5"/>
  <c r="R125" i="5"/>
  <c r="R124" i="5"/>
  <c r="R123" i="5"/>
  <c r="R122" i="5"/>
  <c r="R116" i="5"/>
  <c r="R115" i="5"/>
  <c r="R109" i="5"/>
  <c r="R108" i="5"/>
  <c r="R107" i="5"/>
  <c r="R106" i="5"/>
  <c r="R105" i="5"/>
  <c r="R104" i="5"/>
  <c r="R103" i="5"/>
  <c r="R102" i="5"/>
  <c r="R101" i="5"/>
  <c r="R100" i="5"/>
  <c r="R94" i="5"/>
  <c r="R93" i="5"/>
  <c r="R92" i="5"/>
  <c r="R89" i="5"/>
  <c r="R88" i="5"/>
  <c r="R87" i="5"/>
  <c r="R86" i="5"/>
  <c r="R85" i="5"/>
  <c r="R82" i="5"/>
  <c r="R81" i="5"/>
  <c r="R80" i="5"/>
  <c r="R79" i="5"/>
  <c r="R75" i="5"/>
  <c r="R74" i="5"/>
  <c r="R73" i="5"/>
  <c r="R65" i="5"/>
  <c r="R64" i="5"/>
  <c r="R63" i="5"/>
  <c r="R62" i="5"/>
  <c r="R61" i="5"/>
  <c r="R60" i="5"/>
  <c r="R59" i="5"/>
  <c r="R58" i="5"/>
  <c r="R57" i="5"/>
  <c r="R51" i="5"/>
  <c r="R50" i="5"/>
  <c r="R49" i="5"/>
  <c r="R48" i="5"/>
  <c r="R47" i="5"/>
  <c r="R44" i="5"/>
  <c r="R155" i="5"/>
  <c r="R40" i="5"/>
  <c r="R37" i="5"/>
  <c r="R36" i="5"/>
  <c r="R35" i="5"/>
  <c r="R34" i="5"/>
  <c r="R33" i="5"/>
  <c r="R30" i="5"/>
  <c r="R29" i="5"/>
  <c r="R41" i="5"/>
  <c r="R25" i="5"/>
  <c r="R22" i="5"/>
  <c r="R21" i="5"/>
  <c r="R20" i="5"/>
  <c r="R19" i="5"/>
  <c r="R18" i="5"/>
  <c r="R15" i="5"/>
  <c r="R154" i="5"/>
  <c r="R26" i="5"/>
  <c r="P139" i="5"/>
  <c r="P159" i="5" s="1"/>
  <c r="P162" i="5" s="1"/>
  <c r="Q146" i="5"/>
  <c r="Q160" i="5" s="1"/>
  <c r="BA6" i="5"/>
  <c r="BA7" i="5"/>
  <c r="Q110" i="5"/>
  <c r="Q136" i="5" s="1"/>
  <c r="Q52" i="5"/>
  <c r="Q133" i="5" s="1"/>
  <c r="Q156" i="5"/>
  <c r="Q161" i="5" s="1"/>
  <c r="Q128" i="5"/>
  <c r="Q138" i="5" s="1"/>
  <c r="Q117" i="5"/>
  <c r="Q137" i="5" s="1"/>
  <c r="Q66" i="5"/>
  <c r="Q134" i="5" s="1"/>
  <c r="R14" i="5"/>
  <c r="AG5" i="5"/>
  <c r="S7" i="5"/>
  <c r="S6" i="5"/>
  <c r="S76" i="5" s="1"/>
  <c r="BA5" i="5"/>
  <c r="AU4" i="3"/>
  <c r="AU5" i="3"/>
  <c r="R95" i="5" l="1"/>
  <c r="R135" i="5" s="1"/>
  <c r="R52" i="5"/>
  <c r="S153" i="5"/>
  <c r="S152" i="5"/>
  <c r="S151" i="5"/>
  <c r="S145" i="5"/>
  <c r="S144" i="5"/>
  <c r="S127" i="5"/>
  <c r="S126" i="5"/>
  <c r="S125" i="5"/>
  <c r="S124" i="5"/>
  <c r="S123" i="5"/>
  <c r="S122" i="5"/>
  <c r="S116" i="5"/>
  <c r="S115" i="5"/>
  <c r="S109" i="5"/>
  <c r="S108" i="5"/>
  <c r="S107" i="5"/>
  <c r="S106" i="5"/>
  <c r="S105" i="5"/>
  <c r="S104" i="5"/>
  <c r="S103" i="5"/>
  <c r="S102" i="5"/>
  <c r="S101" i="5"/>
  <c r="S100" i="5"/>
  <c r="S94" i="5"/>
  <c r="S93" i="5"/>
  <c r="S92" i="5"/>
  <c r="S89" i="5"/>
  <c r="S88" i="5"/>
  <c r="S87" i="5"/>
  <c r="S86" i="5"/>
  <c r="S85" i="5"/>
  <c r="S82" i="5"/>
  <c r="S81" i="5"/>
  <c r="S80" i="5"/>
  <c r="S79" i="5"/>
  <c r="S75" i="5"/>
  <c r="S74" i="5"/>
  <c r="S73" i="5"/>
  <c r="S65" i="5"/>
  <c r="S64" i="5"/>
  <c r="S63" i="5"/>
  <c r="S62" i="5"/>
  <c r="S61" i="5"/>
  <c r="S60" i="5"/>
  <c r="S59" i="5"/>
  <c r="S58" i="5"/>
  <c r="S57" i="5"/>
  <c r="S51" i="5"/>
  <c r="S50" i="5"/>
  <c r="S49" i="5"/>
  <c r="S48" i="5"/>
  <c r="S47" i="5"/>
  <c r="S44" i="5"/>
  <c r="S155" i="5"/>
  <c r="S40" i="5"/>
  <c r="S37" i="5"/>
  <c r="S36" i="5"/>
  <c r="S35" i="5"/>
  <c r="S34" i="5"/>
  <c r="S33" i="5"/>
  <c r="S30" i="5"/>
  <c r="S29" i="5"/>
  <c r="S41" i="5"/>
  <c r="S25" i="5"/>
  <c r="S22" i="5"/>
  <c r="S21" i="5"/>
  <c r="S20" i="5"/>
  <c r="S19" i="5"/>
  <c r="S18" i="5"/>
  <c r="S15" i="5"/>
  <c r="S154" i="5"/>
  <c r="S26" i="5"/>
  <c r="Q139" i="5"/>
  <c r="Q159" i="5" s="1"/>
  <c r="Q162" i="5" s="1"/>
  <c r="BB6" i="5"/>
  <c r="BB7" i="5"/>
  <c r="R133" i="5"/>
  <c r="R110" i="5"/>
  <c r="R136" i="5" s="1"/>
  <c r="R128" i="5"/>
  <c r="R138" i="5" s="1"/>
  <c r="R156" i="5"/>
  <c r="R161" i="5" s="1"/>
  <c r="R146" i="5"/>
  <c r="R160" i="5" s="1"/>
  <c r="R117" i="5"/>
  <c r="R137" i="5" s="1"/>
  <c r="R66" i="5"/>
  <c r="R134" i="5" s="1"/>
  <c r="S14" i="5"/>
  <c r="AJ5" i="5"/>
  <c r="BB5" i="5"/>
  <c r="T7" i="5"/>
  <c r="T6" i="5"/>
  <c r="T76" i="5" s="1"/>
  <c r="AV5" i="3"/>
  <c r="AV4" i="3"/>
  <c r="S95" i="5" l="1"/>
  <c r="S135" i="5" s="1"/>
  <c r="T154" i="5"/>
  <c r="T153" i="5"/>
  <c r="T152" i="5"/>
  <c r="T151" i="5"/>
  <c r="T145" i="5"/>
  <c r="T144" i="5"/>
  <c r="T127" i="5"/>
  <c r="T126" i="5"/>
  <c r="T125" i="5"/>
  <c r="T124" i="5"/>
  <c r="T123" i="5"/>
  <c r="T122" i="5"/>
  <c r="T116" i="5"/>
  <c r="T115" i="5"/>
  <c r="T109" i="5"/>
  <c r="T108" i="5"/>
  <c r="T107" i="5"/>
  <c r="T106" i="5"/>
  <c r="T105" i="5"/>
  <c r="T104" i="5"/>
  <c r="T103" i="5"/>
  <c r="T102" i="5"/>
  <c r="T101" i="5"/>
  <c r="T100" i="5"/>
  <c r="T94" i="5"/>
  <c r="T93" i="5"/>
  <c r="T92" i="5"/>
  <c r="T89" i="5"/>
  <c r="T88" i="5"/>
  <c r="T87" i="5"/>
  <c r="T86" i="5"/>
  <c r="T85" i="5"/>
  <c r="T82" i="5"/>
  <c r="T81" i="5"/>
  <c r="T80" i="5"/>
  <c r="T79" i="5"/>
  <c r="T75" i="5"/>
  <c r="T74" i="5"/>
  <c r="T73" i="5"/>
  <c r="T65" i="5"/>
  <c r="T64" i="5"/>
  <c r="T63" i="5"/>
  <c r="T62" i="5"/>
  <c r="T61" i="5"/>
  <c r="T60" i="5"/>
  <c r="T59" i="5"/>
  <c r="T58" i="5"/>
  <c r="T57" i="5"/>
  <c r="T51" i="5"/>
  <c r="T50" i="5"/>
  <c r="T49" i="5"/>
  <c r="T48" i="5"/>
  <c r="T47" i="5"/>
  <c r="T155" i="5"/>
  <c r="T41" i="5"/>
  <c r="T40" i="5"/>
  <c r="T37" i="5"/>
  <c r="T36" i="5"/>
  <c r="T35" i="5"/>
  <c r="T34" i="5"/>
  <c r="T33" i="5"/>
  <c r="T30" i="5"/>
  <c r="T44" i="5"/>
  <c r="T26" i="5"/>
  <c r="T25" i="5"/>
  <c r="T22" i="5"/>
  <c r="T21" i="5"/>
  <c r="T20" i="5"/>
  <c r="T19" i="5"/>
  <c r="T18" i="5"/>
  <c r="T15" i="5"/>
  <c r="T29" i="5"/>
  <c r="R139" i="5"/>
  <c r="R159" i="5" s="1"/>
  <c r="BC6" i="5"/>
  <c r="BC7" i="5"/>
  <c r="S110" i="5"/>
  <c r="S136" i="5" s="1"/>
  <c r="S156" i="5"/>
  <c r="S161" i="5" s="1"/>
  <c r="S146" i="5"/>
  <c r="S160" i="5" s="1"/>
  <c r="S128" i="5"/>
  <c r="S138" i="5" s="1"/>
  <c r="S117" i="5"/>
  <c r="S137" i="5" s="1"/>
  <c r="S66" i="5"/>
  <c r="S134" i="5" s="1"/>
  <c r="S52" i="5"/>
  <c r="T14" i="5"/>
  <c r="AM5" i="5"/>
  <c r="U7" i="5"/>
  <c r="U6" i="5"/>
  <c r="U76" i="5" s="1"/>
  <c r="BC5" i="5"/>
  <c r="AW5" i="3"/>
  <c r="AW4" i="3"/>
  <c r="T95" i="5" l="1"/>
  <c r="U153" i="5"/>
  <c r="U152" i="5"/>
  <c r="U151" i="5"/>
  <c r="U145" i="5"/>
  <c r="U144" i="5"/>
  <c r="U127" i="5"/>
  <c r="U126" i="5"/>
  <c r="U125" i="5"/>
  <c r="U124" i="5"/>
  <c r="U123" i="5"/>
  <c r="U122" i="5"/>
  <c r="U116" i="5"/>
  <c r="U115" i="5"/>
  <c r="U109" i="5"/>
  <c r="U108" i="5"/>
  <c r="U107" i="5"/>
  <c r="U106" i="5"/>
  <c r="U105" i="5"/>
  <c r="U104" i="5"/>
  <c r="U103" i="5"/>
  <c r="U102" i="5"/>
  <c r="U101" i="5"/>
  <c r="U100" i="5"/>
  <c r="U94" i="5"/>
  <c r="U93" i="5"/>
  <c r="U92" i="5"/>
  <c r="U89" i="5"/>
  <c r="U88" i="5"/>
  <c r="U87" i="5"/>
  <c r="U86" i="5"/>
  <c r="U85" i="5"/>
  <c r="U82" i="5"/>
  <c r="U81" i="5"/>
  <c r="U80" i="5"/>
  <c r="U79" i="5"/>
  <c r="U75" i="5"/>
  <c r="U74" i="5"/>
  <c r="U73" i="5"/>
  <c r="U65" i="5"/>
  <c r="U64" i="5"/>
  <c r="U63" i="5"/>
  <c r="U62" i="5"/>
  <c r="U61" i="5"/>
  <c r="U60" i="5"/>
  <c r="U59" i="5"/>
  <c r="U58" i="5"/>
  <c r="U57" i="5"/>
  <c r="U51" i="5"/>
  <c r="U50" i="5"/>
  <c r="U49" i="5"/>
  <c r="U48" i="5"/>
  <c r="U155" i="5"/>
  <c r="U44" i="5"/>
  <c r="U41" i="5"/>
  <c r="U40" i="5"/>
  <c r="U37" i="5"/>
  <c r="U36" i="5"/>
  <c r="U35" i="5"/>
  <c r="U34" i="5"/>
  <c r="U33" i="5"/>
  <c r="U30" i="5"/>
  <c r="U47" i="5"/>
  <c r="U26" i="5"/>
  <c r="U25" i="5"/>
  <c r="U22" i="5"/>
  <c r="U21" i="5"/>
  <c r="U20" i="5"/>
  <c r="U19" i="5"/>
  <c r="U18" i="5"/>
  <c r="U15" i="5"/>
  <c r="U154" i="5"/>
  <c r="U29" i="5"/>
  <c r="R162" i="5"/>
  <c r="BD6" i="5"/>
  <c r="BD7" i="5"/>
  <c r="T135" i="5"/>
  <c r="T110" i="5"/>
  <c r="T136" i="5" s="1"/>
  <c r="S133" i="5"/>
  <c r="S139" i="5" s="1"/>
  <c r="S159" i="5" s="1"/>
  <c r="S162" i="5" s="1"/>
  <c r="T156" i="5"/>
  <c r="T161" i="5" s="1"/>
  <c r="T146" i="5"/>
  <c r="T160" i="5" s="1"/>
  <c r="T128" i="5"/>
  <c r="T138" i="5" s="1"/>
  <c r="T117" i="5"/>
  <c r="T137" i="5" s="1"/>
  <c r="T66" i="5"/>
  <c r="T134" i="5" s="1"/>
  <c r="T52" i="5"/>
  <c r="T133" i="5" s="1"/>
  <c r="U14" i="5"/>
  <c r="AP5" i="5"/>
  <c r="AT145" i="5"/>
  <c r="AT155" i="5"/>
  <c r="AT154" i="5"/>
  <c r="BD5" i="5"/>
  <c r="BD108" i="5" s="1"/>
  <c r="V7" i="5"/>
  <c r="V6" i="5"/>
  <c r="V76" i="5" s="1"/>
  <c r="AX5" i="3"/>
  <c r="AX4" i="3"/>
  <c r="U95" i="5" l="1"/>
  <c r="V151" i="5"/>
  <c r="V145" i="5"/>
  <c r="V144" i="5"/>
  <c r="V127" i="5"/>
  <c r="V126" i="5"/>
  <c r="V125" i="5"/>
  <c r="V124" i="5"/>
  <c r="V123" i="5"/>
  <c r="V122" i="5"/>
  <c r="V116" i="5"/>
  <c r="V115" i="5"/>
  <c r="V109" i="5"/>
  <c r="V108" i="5"/>
  <c r="V107" i="5"/>
  <c r="V106" i="5"/>
  <c r="V105" i="5"/>
  <c r="V104" i="5"/>
  <c r="V103" i="5"/>
  <c r="V102" i="5"/>
  <c r="V101" i="5"/>
  <c r="V100" i="5"/>
  <c r="V94" i="5"/>
  <c r="V93" i="5"/>
  <c r="V92" i="5"/>
  <c r="V89" i="5"/>
  <c r="V88" i="5"/>
  <c r="V87" i="5"/>
  <c r="V86" i="5"/>
  <c r="V85" i="5"/>
  <c r="V82" i="5"/>
  <c r="V81" i="5"/>
  <c r="V80" i="5"/>
  <c r="V79" i="5"/>
  <c r="V75" i="5"/>
  <c r="V74" i="5"/>
  <c r="V73" i="5"/>
  <c r="V65" i="5"/>
  <c r="V64" i="5"/>
  <c r="V63" i="5"/>
  <c r="V62" i="5"/>
  <c r="V61" i="5"/>
  <c r="V60" i="5"/>
  <c r="V59" i="5"/>
  <c r="V58" i="5"/>
  <c r="V57" i="5"/>
  <c r="V51" i="5"/>
  <c r="V50" i="5"/>
  <c r="V49" i="5"/>
  <c r="V48" i="5"/>
  <c r="V47" i="5"/>
  <c r="V44" i="5"/>
  <c r="V155" i="5"/>
  <c r="V40" i="5"/>
  <c r="V37" i="5"/>
  <c r="V36" i="5"/>
  <c r="V35" i="5"/>
  <c r="V34" i="5"/>
  <c r="V33" i="5"/>
  <c r="V30" i="5"/>
  <c r="V29" i="5"/>
  <c r="V26" i="5"/>
  <c r="V41" i="5"/>
  <c r="V22" i="5"/>
  <c r="V21" i="5"/>
  <c r="V20" i="5"/>
  <c r="V19" i="5"/>
  <c r="V18" i="5"/>
  <c r="V15" i="5"/>
  <c r="V154" i="5"/>
  <c r="V153" i="5"/>
  <c r="V152" i="5"/>
  <c r="V25" i="5"/>
  <c r="T139" i="5"/>
  <c r="T159" i="5" s="1"/>
  <c r="T162" i="5" s="1"/>
  <c r="AZ108" i="5"/>
  <c r="BA108" i="5"/>
  <c r="AV108" i="5"/>
  <c r="BB108" i="5"/>
  <c r="AT108" i="5"/>
  <c r="AU108" i="5"/>
  <c r="BC108" i="5"/>
  <c r="AV59" i="5"/>
  <c r="AV58" i="5"/>
  <c r="AZ59" i="5"/>
  <c r="AZ58" i="5"/>
  <c r="BA59" i="5"/>
  <c r="BA58" i="5"/>
  <c r="BB59" i="5"/>
  <c r="BB58" i="5"/>
  <c r="BC59" i="5"/>
  <c r="BC58" i="5"/>
  <c r="AT59" i="5"/>
  <c r="AT58" i="5"/>
  <c r="AU59" i="5"/>
  <c r="AU58" i="5"/>
  <c r="BD106" i="5"/>
  <c r="BD59" i="5"/>
  <c r="BD58" i="5"/>
  <c r="BA106" i="5"/>
  <c r="AZ106" i="5"/>
  <c r="BB106" i="5"/>
  <c r="AT106" i="5"/>
  <c r="AU106" i="5"/>
  <c r="AV106" i="5"/>
  <c r="BC106" i="5"/>
  <c r="AZ107" i="5"/>
  <c r="AT105" i="5"/>
  <c r="AV104" i="5"/>
  <c r="AZ103" i="5"/>
  <c r="AZ104" i="5"/>
  <c r="AZ102" i="5"/>
  <c r="BB105" i="5"/>
  <c r="BB104" i="5"/>
  <c r="BB103" i="5"/>
  <c r="AZ105" i="5"/>
  <c r="BB102" i="5"/>
  <c r="BA105" i="5"/>
  <c r="BA104" i="5"/>
  <c r="BA102" i="5"/>
  <c r="BA103" i="5"/>
  <c r="BC105" i="5"/>
  <c r="BC104" i="5"/>
  <c r="BC102" i="5"/>
  <c r="BC103" i="5"/>
  <c r="AV105" i="5"/>
  <c r="BB109" i="5"/>
  <c r="BA107" i="5"/>
  <c r="BC109" i="5"/>
  <c r="BC107" i="5"/>
  <c r="AV102" i="5"/>
  <c r="AU103" i="5"/>
  <c r="AU104" i="5"/>
  <c r="AU105" i="5"/>
  <c r="AU102" i="5"/>
  <c r="AT103" i="5"/>
  <c r="AT102" i="5"/>
  <c r="AT104" i="5"/>
  <c r="AV103" i="5"/>
  <c r="BD103" i="5"/>
  <c r="BD102" i="5"/>
  <c r="BD104" i="5"/>
  <c r="BD105" i="5"/>
  <c r="AT107" i="5"/>
  <c r="AV107" i="5"/>
  <c r="BB107" i="5"/>
  <c r="AZ109" i="5"/>
  <c r="BA109" i="5"/>
  <c r="AV109" i="5"/>
  <c r="AU107" i="5"/>
  <c r="AU109" i="5"/>
  <c r="AT109" i="5"/>
  <c r="BD107" i="5"/>
  <c r="BD109" i="5"/>
  <c r="BD87" i="5"/>
  <c r="BD123" i="5"/>
  <c r="AU122" i="5"/>
  <c r="AU87" i="5"/>
  <c r="BB87" i="5"/>
  <c r="BA87" i="5"/>
  <c r="AT153" i="5"/>
  <c r="AT152" i="5"/>
  <c r="AT151" i="5"/>
  <c r="AT144" i="5"/>
  <c r="AT146" i="5" s="1"/>
  <c r="AT160" i="5" s="1"/>
  <c r="AT127" i="5"/>
  <c r="AT126" i="5"/>
  <c r="AT125" i="5"/>
  <c r="AT122" i="5"/>
  <c r="AT116" i="5"/>
  <c r="AT115" i="5"/>
  <c r="AT86" i="5"/>
  <c r="AT88" i="5"/>
  <c r="AT85" i="5"/>
  <c r="AT82" i="5"/>
  <c r="AT81" i="5"/>
  <c r="AT80" i="5"/>
  <c r="AT79" i="5"/>
  <c r="AT75" i="5"/>
  <c r="AT74" i="5"/>
  <c r="AU155" i="5"/>
  <c r="AU153" i="5"/>
  <c r="AU151" i="5"/>
  <c r="AU127" i="5"/>
  <c r="AU125" i="5"/>
  <c r="AU62" i="5"/>
  <c r="AU57" i="5"/>
  <c r="BA115" i="5"/>
  <c r="BA82" i="5"/>
  <c r="BA75" i="5"/>
  <c r="BA64" i="5"/>
  <c r="BA60" i="5"/>
  <c r="BC154" i="5"/>
  <c r="BC144" i="5"/>
  <c r="BC122" i="5"/>
  <c r="BC145" i="5"/>
  <c r="AT73" i="5"/>
  <c r="AT65" i="5"/>
  <c r="AT64" i="5"/>
  <c r="AT63" i="5"/>
  <c r="AT62" i="5"/>
  <c r="AT61" i="5"/>
  <c r="AT60" i="5"/>
  <c r="AT57" i="5"/>
  <c r="AU145" i="5"/>
  <c r="AU154" i="5"/>
  <c r="AU152" i="5"/>
  <c r="AU144" i="5"/>
  <c r="AU126" i="5"/>
  <c r="AU63" i="5"/>
  <c r="AU60" i="5"/>
  <c r="BA116" i="5"/>
  <c r="BA85" i="5"/>
  <c r="BA79" i="5"/>
  <c r="BA65" i="5"/>
  <c r="BA61" i="5"/>
  <c r="BB89" i="5"/>
  <c r="BC151" i="5"/>
  <c r="BC116" i="5"/>
  <c r="AV87" i="5"/>
  <c r="AU116" i="5"/>
  <c r="AU115" i="5"/>
  <c r="AU86" i="5"/>
  <c r="AU88" i="5"/>
  <c r="AU85" i="5"/>
  <c r="AU82" i="5"/>
  <c r="AU81" i="5"/>
  <c r="AU80" i="5"/>
  <c r="AU79" i="5"/>
  <c r="AU75" i="5"/>
  <c r="AU74" i="5"/>
  <c r="AU73" i="5"/>
  <c r="AU65" i="5"/>
  <c r="AU64" i="5"/>
  <c r="AU61" i="5"/>
  <c r="AV89" i="5"/>
  <c r="BA88" i="5"/>
  <c r="BA80" i="5"/>
  <c r="BA73" i="5"/>
  <c r="BA62" i="5"/>
  <c r="BA145" i="5"/>
  <c r="BC153" i="5"/>
  <c r="BC127" i="5"/>
  <c r="BC115" i="5"/>
  <c r="AZ89" i="5"/>
  <c r="BA155" i="5"/>
  <c r="BA154" i="5"/>
  <c r="BA153" i="5"/>
  <c r="BA152" i="5"/>
  <c r="BA151" i="5"/>
  <c r="BA144" i="5"/>
  <c r="BA127" i="5"/>
  <c r="BA126" i="5"/>
  <c r="BA125" i="5"/>
  <c r="BA122" i="5"/>
  <c r="BA86" i="5"/>
  <c r="BA81" i="5"/>
  <c r="BA74" i="5"/>
  <c r="BA63" i="5"/>
  <c r="BA57" i="5"/>
  <c r="BC155" i="5"/>
  <c r="BC152" i="5"/>
  <c r="BC125" i="5"/>
  <c r="BC57" i="5"/>
  <c r="BC86" i="5"/>
  <c r="BC88" i="5"/>
  <c r="BC85" i="5"/>
  <c r="BC82" i="5"/>
  <c r="BC81" i="5"/>
  <c r="BC80" i="5"/>
  <c r="BC79" i="5"/>
  <c r="BC75" i="5"/>
  <c r="BC74" i="5"/>
  <c r="BC73" i="5"/>
  <c r="BC65" i="5"/>
  <c r="BC64" i="5"/>
  <c r="BC63" i="5"/>
  <c r="BC62" i="5"/>
  <c r="BC61" i="5"/>
  <c r="BC60" i="5"/>
  <c r="BC87" i="5"/>
  <c r="AT87" i="5"/>
  <c r="AZ87" i="5"/>
  <c r="BC123" i="5"/>
  <c r="AV123" i="5"/>
  <c r="BB123" i="5"/>
  <c r="BA123" i="5"/>
  <c r="AZ123" i="5"/>
  <c r="AU123" i="5"/>
  <c r="AT123" i="5"/>
  <c r="U135" i="5"/>
  <c r="BD94" i="5"/>
  <c r="BD93" i="5"/>
  <c r="BD92" i="5"/>
  <c r="BC94" i="5"/>
  <c r="BC93" i="5"/>
  <c r="BC92" i="5"/>
  <c r="BB94" i="5"/>
  <c r="BB93" i="5"/>
  <c r="BB92" i="5"/>
  <c r="BA94" i="5"/>
  <c r="BA93" i="5"/>
  <c r="BA92" i="5"/>
  <c r="AZ94" i="5"/>
  <c r="AZ93" i="5"/>
  <c r="AZ92" i="5"/>
  <c r="AT92" i="5"/>
  <c r="AT93" i="5"/>
  <c r="AT94" i="5"/>
  <c r="AU92" i="5"/>
  <c r="AU93" i="5"/>
  <c r="AU94" i="5"/>
  <c r="AV92" i="5"/>
  <c r="AV93" i="5"/>
  <c r="AV94" i="5"/>
  <c r="BD101" i="5"/>
  <c r="BC101" i="5"/>
  <c r="BB101" i="5"/>
  <c r="BA101" i="5"/>
  <c r="AZ101" i="5"/>
  <c r="AT101" i="5"/>
  <c r="AU101" i="5"/>
  <c r="AV101" i="5"/>
  <c r="BD100" i="5"/>
  <c r="BC100" i="5"/>
  <c r="BB100" i="5"/>
  <c r="BA100" i="5"/>
  <c r="AZ100" i="5"/>
  <c r="AT100" i="5"/>
  <c r="AU100" i="5"/>
  <c r="AV100" i="5"/>
  <c r="U110" i="5"/>
  <c r="U136" i="5" s="1"/>
  <c r="U156" i="5"/>
  <c r="U161" i="5" s="1"/>
  <c r="U146" i="5"/>
  <c r="U160" i="5" s="1"/>
  <c r="U128" i="5"/>
  <c r="U138" i="5" s="1"/>
  <c r="U117" i="5"/>
  <c r="U137" i="5" s="1"/>
  <c r="U66" i="5"/>
  <c r="U134" i="5" s="1"/>
  <c r="U52" i="5"/>
  <c r="U133" i="5" s="1"/>
  <c r="V14" i="5"/>
  <c r="BD51" i="5"/>
  <c r="BD50" i="5"/>
  <c r="BD49" i="5"/>
  <c r="BC51" i="5"/>
  <c r="BC50" i="5"/>
  <c r="BC49" i="5"/>
  <c r="BB51" i="5"/>
  <c r="BB50" i="5"/>
  <c r="BB49" i="5"/>
  <c r="BA51" i="5"/>
  <c r="BA50" i="5"/>
  <c r="BA49" i="5"/>
  <c r="AZ51" i="5"/>
  <c r="AZ50" i="5"/>
  <c r="AZ49" i="5"/>
  <c r="AV51" i="5"/>
  <c r="AV50" i="5"/>
  <c r="AV49" i="5"/>
  <c r="AT51" i="5"/>
  <c r="AT50" i="5"/>
  <c r="AT49" i="5"/>
  <c r="AU51" i="5"/>
  <c r="AU50" i="5"/>
  <c r="AU49" i="5"/>
  <c r="BD37" i="5"/>
  <c r="BD36" i="5"/>
  <c r="BD35" i="5"/>
  <c r="BC37" i="5"/>
  <c r="BC36" i="5"/>
  <c r="BC35" i="5"/>
  <c r="BB37" i="5"/>
  <c r="BB36" i="5"/>
  <c r="BB35" i="5"/>
  <c r="BA37" i="5"/>
  <c r="BA36" i="5"/>
  <c r="BA35" i="5"/>
  <c r="AZ37" i="5"/>
  <c r="AZ36" i="5"/>
  <c r="AZ35" i="5"/>
  <c r="AV37" i="5"/>
  <c r="AV36" i="5"/>
  <c r="AV35" i="5"/>
  <c r="AT37" i="5"/>
  <c r="AT36" i="5"/>
  <c r="AT35" i="5"/>
  <c r="AU37" i="5"/>
  <c r="AU36" i="5"/>
  <c r="AU35" i="5"/>
  <c r="BD34" i="5"/>
  <c r="BD33" i="5"/>
  <c r="BC34" i="5"/>
  <c r="BC33" i="5"/>
  <c r="BB34" i="5"/>
  <c r="BB33" i="5"/>
  <c r="BA34" i="5"/>
  <c r="BA33" i="5"/>
  <c r="AZ34" i="5"/>
  <c r="AZ33" i="5"/>
  <c r="AV34" i="5"/>
  <c r="AV33" i="5"/>
  <c r="AT34" i="5"/>
  <c r="AT33" i="5"/>
  <c r="AU34" i="5"/>
  <c r="AU33" i="5"/>
  <c r="BD48" i="5"/>
  <c r="BD47" i="5"/>
  <c r="BD45" i="5"/>
  <c r="BD44" i="5"/>
  <c r="BD30" i="5"/>
  <c r="BD29" i="5"/>
  <c r="BD26" i="5"/>
  <c r="BD25" i="5"/>
  <c r="BD19" i="5"/>
  <c r="BD18" i="5"/>
  <c r="BD41" i="5"/>
  <c r="BD40" i="5"/>
  <c r="BC48" i="5"/>
  <c r="BC47" i="5"/>
  <c r="BC45" i="5"/>
  <c r="BC44" i="5"/>
  <c r="BC30" i="5"/>
  <c r="BC29" i="5"/>
  <c r="BC26" i="5"/>
  <c r="BC25" i="5"/>
  <c r="BC19" i="5"/>
  <c r="BC18" i="5"/>
  <c r="BC41" i="5"/>
  <c r="BC40" i="5"/>
  <c r="BB48" i="5"/>
  <c r="BB47" i="5"/>
  <c r="BB45" i="5"/>
  <c r="BB44" i="5"/>
  <c r="BB30" i="5"/>
  <c r="BB29" i="5"/>
  <c r="BB26" i="5"/>
  <c r="BB25" i="5"/>
  <c r="BB19" i="5"/>
  <c r="BB18" i="5"/>
  <c r="BB41" i="5"/>
  <c r="BB40" i="5"/>
  <c r="BA48" i="5"/>
  <c r="BA47" i="5"/>
  <c r="BA45" i="5"/>
  <c r="BA44" i="5"/>
  <c r="BA30" i="5"/>
  <c r="BA29" i="5"/>
  <c r="BA26" i="5"/>
  <c r="BA25" i="5"/>
  <c r="BA19" i="5"/>
  <c r="BA18" i="5"/>
  <c r="BA41" i="5"/>
  <c r="BA40" i="5"/>
  <c r="AZ48" i="5"/>
  <c r="AZ47" i="5"/>
  <c r="AZ45" i="5"/>
  <c r="AZ44" i="5"/>
  <c r="AZ30" i="5"/>
  <c r="AZ29" i="5"/>
  <c r="AZ26" i="5"/>
  <c r="AZ25" i="5"/>
  <c r="AZ19" i="5"/>
  <c r="AZ18" i="5"/>
  <c r="AZ41" i="5"/>
  <c r="AZ40" i="5"/>
  <c r="AY45" i="5"/>
  <c r="AX45" i="5"/>
  <c r="AW45" i="5"/>
  <c r="AV48" i="5"/>
  <c r="AV47" i="5"/>
  <c r="AV45" i="5"/>
  <c r="AV44" i="5"/>
  <c r="AV30" i="5"/>
  <c r="AV29" i="5"/>
  <c r="AV26" i="5"/>
  <c r="AV25" i="5"/>
  <c r="AV19" i="5"/>
  <c r="AV18" i="5"/>
  <c r="AV41" i="5"/>
  <c r="AV40" i="5"/>
  <c r="AT48" i="5"/>
  <c r="AT47" i="5"/>
  <c r="AT45" i="5"/>
  <c r="AT44" i="5"/>
  <c r="AT30" i="5"/>
  <c r="AT29" i="5"/>
  <c r="AT26" i="5"/>
  <c r="AT25" i="5"/>
  <c r="AT19" i="5"/>
  <c r="AT18" i="5"/>
  <c r="AT41" i="5"/>
  <c r="AT40" i="5"/>
  <c r="AU48" i="5"/>
  <c r="AU47" i="5"/>
  <c r="AU45" i="5"/>
  <c r="AU44" i="5"/>
  <c r="AU30" i="5"/>
  <c r="AU29" i="5"/>
  <c r="AU26" i="5"/>
  <c r="AU25" i="5"/>
  <c r="AU19" i="5"/>
  <c r="AU18" i="5"/>
  <c r="AU41" i="5"/>
  <c r="AU40" i="5"/>
  <c r="BD89" i="5"/>
  <c r="BD15" i="5"/>
  <c r="BD14" i="5"/>
  <c r="BC15" i="5"/>
  <c r="BC14" i="5"/>
  <c r="BB15" i="5"/>
  <c r="BB14" i="5"/>
  <c r="BA15" i="5"/>
  <c r="BA14" i="5"/>
  <c r="AZ15" i="5"/>
  <c r="AZ14" i="5"/>
  <c r="AV15" i="5"/>
  <c r="AV14" i="5"/>
  <c r="AT15" i="5"/>
  <c r="AT14" i="5"/>
  <c r="AU15" i="5"/>
  <c r="AU14" i="5"/>
  <c r="AT89" i="5"/>
  <c r="AU89" i="5"/>
  <c r="AV145" i="5"/>
  <c r="AV155" i="5"/>
  <c r="AV154" i="5"/>
  <c r="AV153" i="5"/>
  <c r="AV152" i="5"/>
  <c r="AV151" i="5"/>
  <c r="AV144" i="5"/>
  <c r="AV127" i="5"/>
  <c r="AV126" i="5"/>
  <c r="AV125" i="5"/>
  <c r="AV122" i="5"/>
  <c r="AV116" i="5"/>
  <c r="AV115" i="5"/>
  <c r="AV86" i="5"/>
  <c r="AV88" i="5"/>
  <c r="AV85" i="5"/>
  <c r="AV82" i="5"/>
  <c r="AV81" i="5"/>
  <c r="AV80" i="5"/>
  <c r="AV79" i="5"/>
  <c r="AV75" i="5"/>
  <c r="AV74" i="5"/>
  <c r="AV73" i="5"/>
  <c r="AV65" i="5"/>
  <c r="AV64" i="5"/>
  <c r="AV63" i="5"/>
  <c r="AV62" i="5"/>
  <c r="AV61" i="5"/>
  <c r="AV60" i="5"/>
  <c r="AV57" i="5"/>
  <c r="AZ155" i="5"/>
  <c r="AZ154" i="5"/>
  <c r="AZ153" i="5"/>
  <c r="AZ152" i="5"/>
  <c r="AZ151" i="5"/>
  <c r="AZ144" i="5"/>
  <c r="AZ127" i="5"/>
  <c r="AZ126" i="5"/>
  <c r="AZ125" i="5"/>
  <c r="AZ122" i="5"/>
  <c r="AZ116" i="5"/>
  <c r="AZ115" i="5"/>
  <c r="AZ86" i="5"/>
  <c r="AZ88" i="5"/>
  <c r="AZ85" i="5"/>
  <c r="AZ82" i="5"/>
  <c r="AZ81" i="5"/>
  <c r="AZ80" i="5"/>
  <c r="AZ79" i="5"/>
  <c r="AZ75" i="5"/>
  <c r="AZ74" i="5"/>
  <c r="AZ73" i="5"/>
  <c r="AZ65" i="5"/>
  <c r="AZ64" i="5"/>
  <c r="AZ63" i="5"/>
  <c r="AZ62" i="5"/>
  <c r="AZ61" i="5"/>
  <c r="AZ60" i="5"/>
  <c r="AZ57" i="5"/>
  <c r="AZ145" i="5"/>
  <c r="BA89" i="5"/>
  <c r="BB155" i="5"/>
  <c r="BB154" i="5"/>
  <c r="BB153" i="5"/>
  <c r="BB152" i="5"/>
  <c r="BB151" i="5"/>
  <c r="BB144" i="5"/>
  <c r="BB127" i="5"/>
  <c r="BB126" i="5"/>
  <c r="BB125" i="5"/>
  <c r="BB122" i="5"/>
  <c r="BB116" i="5"/>
  <c r="BB115" i="5"/>
  <c r="BB86" i="5"/>
  <c r="BB88" i="5"/>
  <c r="BB85" i="5"/>
  <c r="BB82" i="5"/>
  <c r="BB81" i="5"/>
  <c r="BB80" i="5"/>
  <c r="BB79" i="5"/>
  <c r="BB75" i="5"/>
  <c r="BB74" i="5"/>
  <c r="BB73" i="5"/>
  <c r="BB65" i="5"/>
  <c r="BB64" i="5"/>
  <c r="BB63" i="5"/>
  <c r="BB62" i="5"/>
  <c r="BB61" i="5"/>
  <c r="BB60" i="5"/>
  <c r="BB57" i="5"/>
  <c r="BB145" i="5"/>
  <c r="BC89" i="5"/>
  <c r="BD155" i="5"/>
  <c r="BD154" i="5"/>
  <c r="BD153" i="5"/>
  <c r="BD152" i="5"/>
  <c r="BD151" i="5"/>
  <c r="BD144" i="5"/>
  <c r="BD127" i="5"/>
  <c r="BD126" i="5"/>
  <c r="BD125" i="5"/>
  <c r="BD122" i="5"/>
  <c r="BD116" i="5"/>
  <c r="BD115" i="5"/>
  <c r="BD86" i="5"/>
  <c r="BD88" i="5"/>
  <c r="BD85" i="5"/>
  <c r="BD82" i="5"/>
  <c r="BD81" i="5"/>
  <c r="BD80" i="5"/>
  <c r="BD79" i="5"/>
  <c r="BD75" i="5"/>
  <c r="BD74" i="5"/>
  <c r="BD73" i="5"/>
  <c r="BD65" i="5"/>
  <c r="BD64" i="5"/>
  <c r="BD63" i="5"/>
  <c r="BD62" i="5"/>
  <c r="BD61" i="5"/>
  <c r="BD60" i="5"/>
  <c r="BD57" i="5"/>
  <c r="BD145" i="5"/>
  <c r="W7" i="5"/>
  <c r="W6" i="5"/>
  <c r="W76" i="5" s="1"/>
  <c r="BB117" i="5" l="1"/>
  <c r="BB137" i="5" s="1"/>
  <c r="V110" i="5"/>
  <c r="V136" i="5" s="1"/>
  <c r="AV117" i="5"/>
  <c r="AV137" i="5" s="1"/>
  <c r="AU117" i="5"/>
  <c r="AU137" i="5" s="1"/>
  <c r="AZ156" i="5"/>
  <c r="AZ161" i="5" s="1"/>
  <c r="AT66" i="5"/>
  <c r="AT134" i="5" s="1"/>
  <c r="V95" i="5"/>
  <c r="V135" i="5" s="1"/>
  <c r="W153" i="5"/>
  <c r="W152" i="5"/>
  <c r="W151" i="5"/>
  <c r="W145" i="5"/>
  <c r="W144" i="5"/>
  <c r="W127" i="5"/>
  <c r="W126" i="5"/>
  <c r="AW126" i="5" s="1"/>
  <c r="W125" i="5"/>
  <c r="W124" i="5"/>
  <c r="W123" i="5"/>
  <c r="W122" i="5"/>
  <c r="W116" i="5"/>
  <c r="W115" i="5"/>
  <c r="W109" i="5"/>
  <c r="W108" i="5"/>
  <c r="AW108" i="5" s="1"/>
  <c r="W107" i="5"/>
  <c r="W106" i="5"/>
  <c r="AW106" i="5" s="1"/>
  <c r="W105" i="5"/>
  <c r="W104" i="5"/>
  <c r="W103" i="5"/>
  <c r="W102" i="5"/>
  <c r="W101" i="5"/>
  <c r="W100" i="5"/>
  <c r="W94" i="5"/>
  <c r="W93" i="5"/>
  <c r="W92" i="5"/>
  <c r="W89" i="5"/>
  <c r="W88" i="5"/>
  <c r="W87" i="5"/>
  <c r="W86" i="5"/>
  <c r="W85" i="5"/>
  <c r="W82" i="5"/>
  <c r="W81" i="5"/>
  <c r="W80" i="5"/>
  <c r="W79" i="5"/>
  <c r="W75" i="5"/>
  <c r="W74" i="5"/>
  <c r="W73" i="5"/>
  <c r="W65" i="5"/>
  <c r="W64" i="5"/>
  <c r="W63" i="5"/>
  <c r="W62" i="5"/>
  <c r="W61" i="5"/>
  <c r="W60" i="5"/>
  <c r="W59" i="5"/>
  <c r="W58" i="5"/>
  <c r="W57" i="5"/>
  <c r="W51" i="5"/>
  <c r="W50" i="5"/>
  <c r="W49" i="5"/>
  <c r="W48" i="5"/>
  <c r="W47" i="5"/>
  <c r="W44" i="5"/>
  <c r="W155" i="5"/>
  <c r="W40" i="5"/>
  <c r="W37" i="5"/>
  <c r="W36" i="5"/>
  <c r="W35" i="5"/>
  <c r="W34" i="5"/>
  <c r="W33" i="5"/>
  <c r="W30" i="5"/>
  <c r="W29" i="5"/>
  <c r="W41" i="5"/>
  <c r="W25" i="5"/>
  <c r="W22" i="5"/>
  <c r="W21" i="5"/>
  <c r="W20" i="5"/>
  <c r="W19" i="5"/>
  <c r="W18" i="5"/>
  <c r="W15" i="5"/>
  <c r="W154" i="5"/>
  <c r="W26" i="5"/>
  <c r="U139" i="5"/>
  <c r="U159" i="5" s="1"/>
  <c r="U162" i="5" s="1"/>
  <c r="AT117" i="5"/>
  <c r="AT137" i="5" s="1"/>
  <c r="AV156" i="5"/>
  <c r="BC146" i="5"/>
  <c r="BC160" i="5" s="1"/>
  <c r="AZ117" i="5"/>
  <c r="AZ137" i="5" s="1"/>
  <c r="AV66" i="5"/>
  <c r="AV134" i="5" s="1"/>
  <c r="BB156" i="5"/>
  <c r="BC156" i="5"/>
  <c r="BC66" i="5"/>
  <c r="BC134" i="5" s="1"/>
  <c r="BB110" i="5"/>
  <c r="BA110" i="5"/>
  <c r="AZ110" i="5"/>
  <c r="BC117" i="5"/>
  <c r="BC137" i="5" s="1"/>
  <c r="AV146" i="5"/>
  <c r="AV160" i="5" s="1"/>
  <c r="BA156" i="5"/>
  <c r="BA146" i="5"/>
  <c r="BA160" i="5" s="1"/>
  <c r="AZ66" i="5"/>
  <c r="AZ134" i="5" s="1"/>
  <c r="BC95" i="5"/>
  <c r="BC135" i="5" s="1"/>
  <c r="AU156" i="5"/>
  <c r="AU66" i="5"/>
  <c r="AU134" i="5" s="1"/>
  <c r="BA117" i="5"/>
  <c r="BA137" i="5" s="1"/>
  <c r="BA66" i="5"/>
  <c r="BA134" i="5" s="1"/>
  <c r="AU128" i="5"/>
  <c r="AU138" i="5" s="1"/>
  <c r="AU95" i="5"/>
  <c r="AU135" i="5" s="1"/>
  <c r="AV128" i="5"/>
  <c r="AV138" i="5" s="1"/>
  <c r="AV95" i="5"/>
  <c r="AV135" i="5" s="1"/>
  <c r="AZ95" i="5"/>
  <c r="AZ135" i="5" s="1"/>
  <c r="BA95" i="5"/>
  <c r="BA135" i="5" s="1"/>
  <c r="BB128" i="5"/>
  <c r="BB138" i="5" s="1"/>
  <c r="BB66" i="5"/>
  <c r="BB134" i="5" s="1"/>
  <c r="AT156" i="5"/>
  <c r="BB95" i="5"/>
  <c r="BB135" i="5" s="1"/>
  <c r="AU146" i="5"/>
  <c r="AU160" i="5" s="1"/>
  <c r="BA128" i="5"/>
  <c r="BA138" i="5" s="1"/>
  <c r="BD110" i="5"/>
  <c r="BC110" i="5"/>
  <c r="AZ128" i="5"/>
  <c r="AZ138" i="5" s="1"/>
  <c r="AW123" i="5"/>
  <c r="AT128" i="5"/>
  <c r="AT138" i="5" s="1"/>
  <c r="AV110" i="5"/>
  <c r="AU110" i="5"/>
  <c r="AT110" i="5"/>
  <c r="V156" i="5"/>
  <c r="V161" i="5" s="1"/>
  <c r="V146" i="5"/>
  <c r="V160" i="5" s="1"/>
  <c r="V128" i="5"/>
  <c r="V138" i="5" s="1"/>
  <c r="V117" i="5"/>
  <c r="V137" i="5" s="1"/>
  <c r="V66" i="5"/>
  <c r="V134" i="5" s="1"/>
  <c r="V52" i="5"/>
  <c r="V133" i="5" s="1"/>
  <c r="W14" i="5"/>
  <c r="AU52" i="5"/>
  <c r="AU133" i="5" s="1"/>
  <c r="AT52" i="5"/>
  <c r="AT133" i="5" s="1"/>
  <c r="AV52" i="5"/>
  <c r="AV133" i="5" s="1"/>
  <c r="AZ52" i="5"/>
  <c r="AZ133" i="5" s="1"/>
  <c r="BA52" i="5"/>
  <c r="BA133" i="5" s="1"/>
  <c r="BB52" i="5"/>
  <c r="BB133" i="5" s="1"/>
  <c r="BC52" i="5"/>
  <c r="BC133" i="5" s="1"/>
  <c r="BD52" i="5"/>
  <c r="BF45" i="5"/>
  <c r="BB146" i="5"/>
  <c r="BB160" i="5" s="1"/>
  <c r="AZ146" i="5"/>
  <c r="AZ160" i="5" s="1"/>
  <c r="AT95" i="5"/>
  <c r="AT135" i="5" s="1"/>
  <c r="BD146" i="5"/>
  <c r="BD66" i="5"/>
  <c r="BD95" i="5"/>
  <c r="BD117" i="5"/>
  <c r="BD128" i="5"/>
  <c r="BD156" i="5"/>
  <c r="X7" i="5"/>
  <c r="X6" i="5"/>
  <c r="X76" i="5" s="1"/>
  <c r="AZ162" i="5" l="1"/>
  <c r="AZ139" i="5"/>
  <c r="AV139" i="5"/>
  <c r="AU139" i="5"/>
  <c r="BA139" i="5"/>
  <c r="BB139" i="5"/>
  <c r="V139" i="5"/>
  <c r="V159" i="5" s="1"/>
  <c r="V162" i="5" s="1"/>
  <c r="W95" i="5"/>
  <c r="X153" i="5"/>
  <c r="X152" i="5"/>
  <c r="X151" i="5"/>
  <c r="X145" i="5"/>
  <c r="X144" i="5"/>
  <c r="X127" i="5"/>
  <c r="X126" i="5"/>
  <c r="X125" i="5"/>
  <c r="X124" i="5"/>
  <c r="X123" i="5"/>
  <c r="X122" i="5"/>
  <c r="X116" i="5"/>
  <c r="X115" i="5"/>
  <c r="X109" i="5"/>
  <c r="X108" i="5"/>
  <c r="X107" i="5"/>
  <c r="X106" i="5"/>
  <c r="X105" i="5"/>
  <c r="X104" i="5"/>
  <c r="X103" i="5"/>
  <c r="X102" i="5"/>
  <c r="X101" i="5"/>
  <c r="X100" i="5"/>
  <c r="X94" i="5"/>
  <c r="X93" i="5"/>
  <c r="X92" i="5"/>
  <c r="X89" i="5"/>
  <c r="X88" i="5"/>
  <c r="X87" i="5"/>
  <c r="X86" i="5"/>
  <c r="X85" i="5"/>
  <c r="X82" i="5"/>
  <c r="X81" i="5"/>
  <c r="X80" i="5"/>
  <c r="X79" i="5"/>
  <c r="X75" i="5"/>
  <c r="X74" i="5"/>
  <c r="X73" i="5"/>
  <c r="X65" i="5"/>
  <c r="X64" i="5"/>
  <c r="X63" i="5"/>
  <c r="X62" i="5"/>
  <c r="X61" i="5"/>
  <c r="X60" i="5"/>
  <c r="X59" i="5"/>
  <c r="X58" i="5"/>
  <c r="X57" i="5"/>
  <c r="X51" i="5"/>
  <c r="X50" i="5"/>
  <c r="X49" i="5"/>
  <c r="X48" i="5"/>
  <c r="X47" i="5"/>
  <c r="X44" i="5"/>
  <c r="X155" i="5"/>
  <c r="X40" i="5"/>
  <c r="X37" i="5"/>
  <c r="X36" i="5"/>
  <c r="X35" i="5"/>
  <c r="X34" i="5"/>
  <c r="X33" i="5"/>
  <c r="X30" i="5"/>
  <c r="X29" i="5"/>
  <c r="X41" i="5"/>
  <c r="X25" i="5"/>
  <c r="X22" i="5"/>
  <c r="X21" i="5"/>
  <c r="X20" i="5"/>
  <c r="X19" i="5"/>
  <c r="X18" i="5"/>
  <c r="X15" i="5"/>
  <c r="X154" i="5"/>
  <c r="X26" i="5"/>
  <c r="AT139" i="5"/>
  <c r="AV161" i="5"/>
  <c r="AV162" i="5" s="1"/>
  <c r="BB161" i="5"/>
  <c r="BB162" i="5" s="1"/>
  <c r="BC161" i="5"/>
  <c r="BC162" i="5" s="1"/>
  <c r="BA161" i="5"/>
  <c r="BA162" i="5" s="1"/>
  <c r="AU161" i="5"/>
  <c r="AU162" i="5"/>
  <c r="AT161" i="5"/>
  <c r="AT162" i="5" s="1"/>
  <c r="AW59" i="5"/>
  <c r="AW58" i="5"/>
  <c r="AW105" i="5"/>
  <c r="AW102" i="5"/>
  <c r="AW104" i="5"/>
  <c r="AW103" i="5"/>
  <c r="W146" i="5"/>
  <c r="W160" i="5" s="1"/>
  <c r="AW109" i="5"/>
  <c r="AW107" i="5"/>
  <c r="AW87" i="5"/>
  <c r="AW92" i="5"/>
  <c r="AW93" i="5"/>
  <c r="AW94" i="5"/>
  <c r="AW101" i="5"/>
  <c r="W110" i="5"/>
  <c r="W136" i="5" s="1"/>
  <c r="AW100" i="5"/>
  <c r="AW14" i="5"/>
  <c r="W52" i="5"/>
  <c r="W133" i="5" s="1"/>
  <c r="AW15" i="5"/>
  <c r="AW89" i="5"/>
  <c r="AW47" i="5"/>
  <c r="AW48" i="5"/>
  <c r="AW49" i="5"/>
  <c r="AW50" i="5"/>
  <c r="AW51" i="5"/>
  <c r="AW44" i="5"/>
  <c r="AW40" i="5"/>
  <c r="AW41" i="5"/>
  <c r="AW33" i="5"/>
  <c r="AW34" i="5"/>
  <c r="AW35" i="5"/>
  <c r="AW36" i="5"/>
  <c r="AW37" i="5"/>
  <c r="AW29" i="5"/>
  <c r="AW30" i="5"/>
  <c r="AW25" i="5"/>
  <c r="AW26" i="5"/>
  <c r="AW18" i="5"/>
  <c r="AW19" i="5"/>
  <c r="AW125" i="5"/>
  <c r="AW151" i="5"/>
  <c r="AW152" i="5"/>
  <c r="AW153" i="5"/>
  <c r="AW154" i="5"/>
  <c r="AW155" i="5"/>
  <c r="AW144" i="5"/>
  <c r="AW145" i="5"/>
  <c r="AW122" i="5"/>
  <c r="AW127" i="5"/>
  <c r="AW115" i="5"/>
  <c r="AW116" i="5"/>
  <c r="AW85" i="5"/>
  <c r="AW88" i="5"/>
  <c r="AW86" i="5"/>
  <c r="AW79" i="5"/>
  <c r="AW80" i="5"/>
  <c r="AW81" i="5"/>
  <c r="AW82" i="5"/>
  <c r="AW73" i="5"/>
  <c r="AW74" i="5"/>
  <c r="AW75" i="5"/>
  <c r="AW57" i="5"/>
  <c r="AW60" i="5"/>
  <c r="AW61" i="5"/>
  <c r="AW62" i="5"/>
  <c r="AW63" i="5"/>
  <c r="AW64" i="5"/>
  <c r="AW65" i="5"/>
  <c r="W156" i="5"/>
  <c r="W161" i="5" s="1"/>
  <c r="W128" i="5"/>
  <c r="W117" i="5"/>
  <c r="W66" i="5"/>
  <c r="X14" i="5"/>
  <c r="BD161" i="5"/>
  <c r="BD138" i="5"/>
  <c r="BD137" i="5"/>
  <c r="BD135" i="5"/>
  <c r="BD134" i="5"/>
  <c r="BD133" i="5"/>
  <c r="BD160" i="5"/>
  <c r="Y7" i="5"/>
  <c r="Y6" i="5"/>
  <c r="Y76" i="5" s="1"/>
  <c r="BD162" i="5" l="1"/>
  <c r="BD139" i="5"/>
  <c r="X95" i="5"/>
  <c r="Y154" i="5"/>
  <c r="Y153" i="5"/>
  <c r="Y152" i="5"/>
  <c r="Y151" i="5"/>
  <c r="Y145" i="5"/>
  <c r="Y144" i="5"/>
  <c r="Y127" i="5"/>
  <c r="Y126" i="5"/>
  <c r="Y125" i="5"/>
  <c r="Y124" i="5"/>
  <c r="Y123" i="5"/>
  <c r="Y122" i="5"/>
  <c r="Y116" i="5"/>
  <c r="Y115" i="5"/>
  <c r="Y109" i="5"/>
  <c r="Y108" i="5"/>
  <c r="Y107" i="5"/>
  <c r="Y106" i="5"/>
  <c r="Y105" i="5"/>
  <c r="Y104" i="5"/>
  <c r="Y103" i="5"/>
  <c r="Y102" i="5"/>
  <c r="Y101" i="5"/>
  <c r="Y100" i="5"/>
  <c r="Y94" i="5"/>
  <c r="Y93" i="5"/>
  <c r="Y92" i="5"/>
  <c r="Y89" i="5"/>
  <c r="Y88" i="5"/>
  <c r="Y87" i="5"/>
  <c r="Y86" i="5"/>
  <c r="Y85" i="5"/>
  <c r="Y82" i="5"/>
  <c r="Y81" i="5"/>
  <c r="Y80" i="5"/>
  <c r="Y79" i="5"/>
  <c r="Y75" i="5"/>
  <c r="Y74" i="5"/>
  <c r="Y73" i="5"/>
  <c r="Y65" i="5"/>
  <c r="Y64" i="5"/>
  <c r="Y63" i="5"/>
  <c r="Y62" i="5"/>
  <c r="Y61" i="5"/>
  <c r="Y60" i="5"/>
  <c r="Y59" i="5"/>
  <c r="Y58" i="5"/>
  <c r="Y57" i="5"/>
  <c r="Y51" i="5"/>
  <c r="Y50" i="5"/>
  <c r="Y49" i="5"/>
  <c r="Y48" i="5"/>
  <c r="Y47" i="5"/>
  <c r="Y155" i="5"/>
  <c r="Y41" i="5"/>
  <c r="Y40" i="5"/>
  <c r="Y37" i="5"/>
  <c r="Y36" i="5"/>
  <c r="Y35" i="5"/>
  <c r="Y34" i="5"/>
  <c r="Y33" i="5"/>
  <c r="Y30" i="5"/>
  <c r="Y44" i="5"/>
  <c r="Y26" i="5"/>
  <c r="Y25" i="5"/>
  <c r="Y22" i="5"/>
  <c r="Y21" i="5"/>
  <c r="Y20" i="5"/>
  <c r="Y19" i="5"/>
  <c r="Y18" i="5"/>
  <c r="Y15" i="5"/>
  <c r="Y29" i="5"/>
  <c r="X135" i="5"/>
  <c r="AW110" i="5"/>
  <c r="X110" i="5"/>
  <c r="X136" i="5" s="1"/>
  <c r="AW52" i="5"/>
  <c r="AW95" i="5"/>
  <c r="AW156" i="5"/>
  <c r="AW146" i="5"/>
  <c r="AW128" i="5"/>
  <c r="AW117" i="5"/>
  <c r="AW66" i="5"/>
  <c r="W138" i="5"/>
  <c r="W137" i="5"/>
  <c r="W135" i="5"/>
  <c r="W134" i="5"/>
  <c r="X156" i="5"/>
  <c r="X161" i="5" s="1"/>
  <c r="X146" i="5"/>
  <c r="X160" i="5" s="1"/>
  <c r="X128" i="5"/>
  <c r="X138" i="5" s="1"/>
  <c r="X117" i="5"/>
  <c r="X137" i="5" s="1"/>
  <c r="X66" i="5"/>
  <c r="X134" i="5" s="1"/>
  <c r="X52" i="5"/>
  <c r="Y14" i="5"/>
  <c r="Z7" i="5"/>
  <c r="Z6" i="5"/>
  <c r="Z76" i="5" s="1"/>
  <c r="Y95" i="5" l="1"/>
  <c r="W139" i="5"/>
  <c r="W159" i="5" s="1"/>
  <c r="W162" i="5" s="1"/>
  <c r="Z153" i="5"/>
  <c r="AX153" i="5" s="1"/>
  <c r="Z152" i="5"/>
  <c r="AX152" i="5" s="1"/>
  <c r="Z151" i="5"/>
  <c r="Z145" i="5"/>
  <c r="AX145" i="5" s="1"/>
  <c r="Z144" i="5"/>
  <c r="Z127" i="5"/>
  <c r="Z126" i="5"/>
  <c r="Z125" i="5"/>
  <c r="Z124" i="5"/>
  <c r="Z123" i="5"/>
  <c r="AX123" i="5" s="1"/>
  <c r="Z122" i="5"/>
  <c r="Z116" i="5"/>
  <c r="Z115" i="5"/>
  <c r="Z109" i="5"/>
  <c r="Z108" i="5"/>
  <c r="AX108" i="5" s="1"/>
  <c r="Z107" i="5"/>
  <c r="Z106" i="5"/>
  <c r="Z105" i="5"/>
  <c r="Z104" i="5"/>
  <c r="Z103" i="5"/>
  <c r="Z102" i="5"/>
  <c r="Z101" i="5"/>
  <c r="AX101" i="5" s="1"/>
  <c r="Z100" i="5"/>
  <c r="Z94" i="5"/>
  <c r="Z93" i="5"/>
  <c r="AX93" i="5" s="1"/>
  <c r="Z92" i="5"/>
  <c r="AX92" i="5" s="1"/>
  <c r="Z89" i="5"/>
  <c r="AX89" i="5" s="1"/>
  <c r="Z88" i="5"/>
  <c r="AX88" i="5" s="1"/>
  <c r="Z87" i="5"/>
  <c r="Z86" i="5"/>
  <c r="Z85" i="5"/>
  <c r="AX85" i="5" s="1"/>
  <c r="Z82" i="5"/>
  <c r="Z81" i="5"/>
  <c r="AX81" i="5" s="1"/>
  <c r="Z80" i="5"/>
  <c r="AX80" i="5" s="1"/>
  <c r="Z79" i="5"/>
  <c r="AX79" i="5" s="1"/>
  <c r="Z75" i="5"/>
  <c r="AX75" i="5" s="1"/>
  <c r="Z74" i="5"/>
  <c r="AX74" i="5" s="1"/>
  <c r="Z73" i="5"/>
  <c r="Z65" i="5"/>
  <c r="Z64" i="5"/>
  <c r="Z63" i="5"/>
  <c r="Z62" i="5"/>
  <c r="Z61" i="5"/>
  <c r="Z60" i="5"/>
  <c r="Z59" i="5"/>
  <c r="Z58" i="5"/>
  <c r="Z57" i="5"/>
  <c r="Z51" i="5"/>
  <c r="AX51" i="5" s="1"/>
  <c r="Z50" i="5"/>
  <c r="AX50" i="5" s="1"/>
  <c r="Z49" i="5"/>
  <c r="AX49" i="5" s="1"/>
  <c r="Z48" i="5"/>
  <c r="AX48" i="5" s="1"/>
  <c r="Z47" i="5"/>
  <c r="AX47" i="5" s="1"/>
  <c r="Z44" i="5"/>
  <c r="AX44" i="5" s="1"/>
  <c r="Z155" i="5"/>
  <c r="AX155" i="5" s="1"/>
  <c r="Z40" i="5"/>
  <c r="AX40" i="5" s="1"/>
  <c r="Z37" i="5"/>
  <c r="AX37" i="5" s="1"/>
  <c r="Z36" i="5"/>
  <c r="AX36" i="5" s="1"/>
  <c r="Z35" i="5"/>
  <c r="AX35" i="5" s="1"/>
  <c r="Z34" i="5"/>
  <c r="AX34" i="5" s="1"/>
  <c r="Z33" i="5"/>
  <c r="AX33" i="5" s="1"/>
  <c r="Z30" i="5"/>
  <c r="AX30" i="5" s="1"/>
  <c r="Z29" i="5"/>
  <c r="AX29" i="5" s="1"/>
  <c r="Z41" i="5"/>
  <c r="AX41" i="5" s="1"/>
  <c r="Z25" i="5"/>
  <c r="AX25" i="5" s="1"/>
  <c r="Z22" i="5"/>
  <c r="Z21" i="5"/>
  <c r="Z20" i="5"/>
  <c r="Z19" i="5"/>
  <c r="AX19" i="5" s="1"/>
  <c r="Z18" i="5"/>
  <c r="AX18" i="5" s="1"/>
  <c r="Z15" i="5"/>
  <c r="AX15" i="5" s="1"/>
  <c r="Z154" i="5"/>
  <c r="AX154" i="5" s="1"/>
  <c r="Z26" i="5"/>
  <c r="AX26" i="5" s="1"/>
  <c r="AX106" i="5"/>
  <c r="Y135" i="5"/>
  <c r="AX94" i="5"/>
  <c r="Y110" i="5"/>
  <c r="Y136" i="5" s="1"/>
  <c r="AW133" i="5"/>
  <c r="AW135" i="5"/>
  <c r="AW161" i="5"/>
  <c r="AW160" i="5"/>
  <c r="AW138" i="5"/>
  <c r="AW137" i="5"/>
  <c r="AW134" i="5"/>
  <c r="X133" i="5"/>
  <c r="X139" i="5" s="1"/>
  <c r="X159" i="5" s="1"/>
  <c r="X162" i="5" s="1"/>
  <c r="Y156" i="5"/>
  <c r="Y161" i="5" s="1"/>
  <c r="Y146" i="5"/>
  <c r="Y160" i="5" s="1"/>
  <c r="Y128" i="5"/>
  <c r="Y138" i="5" s="1"/>
  <c r="Y117" i="5"/>
  <c r="Y137" i="5" s="1"/>
  <c r="Y66" i="5"/>
  <c r="Y134" i="5" s="1"/>
  <c r="Y52" i="5"/>
  <c r="Y133" i="5" s="1"/>
  <c r="AX61" i="5"/>
  <c r="AX126" i="5"/>
  <c r="AX127" i="5"/>
  <c r="AX116" i="5"/>
  <c r="AX86" i="5"/>
  <c r="AX82" i="5"/>
  <c r="Z14" i="5"/>
  <c r="AA7" i="5"/>
  <c r="AA6" i="5"/>
  <c r="AA76" i="5" s="1"/>
  <c r="AW162" i="5" l="1"/>
  <c r="Z95" i="5"/>
  <c r="AA154" i="5"/>
  <c r="AA153" i="5"/>
  <c r="AA152" i="5"/>
  <c r="AA151" i="5"/>
  <c r="AA145" i="5"/>
  <c r="AA144" i="5"/>
  <c r="AA127" i="5"/>
  <c r="AA126" i="5"/>
  <c r="AA125" i="5"/>
  <c r="AA124" i="5"/>
  <c r="AA123" i="5"/>
  <c r="AA122" i="5"/>
  <c r="AA116" i="5"/>
  <c r="AA115" i="5"/>
  <c r="AA109" i="5"/>
  <c r="AA108" i="5"/>
  <c r="AA107" i="5"/>
  <c r="AA106" i="5"/>
  <c r="AA105" i="5"/>
  <c r="AA104" i="5"/>
  <c r="AA103" i="5"/>
  <c r="AA102" i="5"/>
  <c r="AA101" i="5"/>
  <c r="AA100" i="5"/>
  <c r="AA94" i="5"/>
  <c r="AA93" i="5"/>
  <c r="AA92" i="5"/>
  <c r="AA89" i="5"/>
  <c r="AA88" i="5"/>
  <c r="AA87" i="5"/>
  <c r="AA86" i="5"/>
  <c r="AA85" i="5"/>
  <c r="AA82" i="5"/>
  <c r="AA81" i="5"/>
  <c r="AA80" i="5"/>
  <c r="AA79" i="5"/>
  <c r="AA75" i="5"/>
  <c r="AA74" i="5"/>
  <c r="AA73" i="5"/>
  <c r="AA65" i="5"/>
  <c r="AA64" i="5"/>
  <c r="AA63" i="5"/>
  <c r="AA62" i="5"/>
  <c r="AA61" i="5"/>
  <c r="AA60" i="5"/>
  <c r="AA59" i="5"/>
  <c r="AA58" i="5"/>
  <c r="AA57" i="5"/>
  <c r="AA51" i="5"/>
  <c r="AA50" i="5"/>
  <c r="AA49" i="5"/>
  <c r="AA48" i="5"/>
  <c r="AA47" i="5"/>
  <c r="AA155" i="5"/>
  <c r="AA41" i="5"/>
  <c r="AA40" i="5"/>
  <c r="AA37" i="5"/>
  <c r="AA36" i="5"/>
  <c r="AA35" i="5"/>
  <c r="AA34" i="5"/>
  <c r="AA33" i="5"/>
  <c r="AA30" i="5"/>
  <c r="AA44" i="5"/>
  <c r="AA26" i="5"/>
  <c r="AA25" i="5"/>
  <c r="AA22" i="5"/>
  <c r="AA21" i="5"/>
  <c r="AA20" i="5"/>
  <c r="AA19" i="5"/>
  <c r="AA18" i="5"/>
  <c r="AA15" i="5"/>
  <c r="AA29" i="5"/>
  <c r="AX125" i="5"/>
  <c r="AW139" i="5"/>
  <c r="Y139" i="5"/>
  <c r="Y159" i="5" s="1"/>
  <c r="Y162" i="5" s="1"/>
  <c r="AX65" i="5"/>
  <c r="AX64" i="5"/>
  <c r="AX63" i="5"/>
  <c r="AX62" i="5"/>
  <c r="AX60" i="5"/>
  <c r="AX59" i="5"/>
  <c r="AX58" i="5"/>
  <c r="AX105" i="5"/>
  <c r="AX102" i="5"/>
  <c r="AX104" i="5"/>
  <c r="AX103" i="5"/>
  <c r="AX107" i="5"/>
  <c r="AX109" i="5"/>
  <c r="Z156" i="5"/>
  <c r="Z161" i="5" s="1"/>
  <c r="AX87" i="5"/>
  <c r="Z135" i="5"/>
  <c r="Z110" i="5"/>
  <c r="Z136" i="5" s="1"/>
  <c r="AX100" i="5"/>
  <c r="AX151" i="5"/>
  <c r="AX144" i="5"/>
  <c r="AX122" i="5"/>
  <c r="AX115" i="5"/>
  <c r="AX73" i="5"/>
  <c r="AX57" i="5"/>
  <c r="AX14" i="5"/>
  <c r="Z66" i="5"/>
  <c r="Z134" i="5" s="1"/>
  <c r="Z146" i="5"/>
  <c r="Z160" i="5" s="1"/>
  <c r="Z128" i="5"/>
  <c r="Z138" i="5" s="1"/>
  <c r="Z117" i="5"/>
  <c r="Z137" i="5" s="1"/>
  <c r="Z52" i="5"/>
  <c r="Z133" i="5" s="1"/>
  <c r="AA14" i="5"/>
  <c r="AB7" i="5"/>
  <c r="AB6" i="5"/>
  <c r="AB76" i="5" s="1"/>
  <c r="AA95" i="5" l="1"/>
  <c r="AB153" i="5"/>
  <c r="AB152" i="5"/>
  <c r="AB151" i="5"/>
  <c r="AB145" i="5"/>
  <c r="AB146" i="5" s="1"/>
  <c r="AB160" i="5" s="1"/>
  <c r="AB144" i="5"/>
  <c r="AB127" i="5"/>
  <c r="AB126" i="5"/>
  <c r="AB125" i="5"/>
  <c r="AB124" i="5"/>
  <c r="AB123" i="5"/>
  <c r="AB122" i="5"/>
  <c r="AB116" i="5"/>
  <c r="AB115" i="5"/>
  <c r="AB109" i="5"/>
  <c r="AB108" i="5"/>
  <c r="AB107" i="5"/>
  <c r="AB106" i="5"/>
  <c r="AB105" i="5"/>
  <c r="AB104" i="5"/>
  <c r="AB103" i="5"/>
  <c r="AB102" i="5"/>
  <c r="AB101" i="5"/>
  <c r="AB100" i="5"/>
  <c r="AB94" i="5"/>
  <c r="AB93" i="5"/>
  <c r="AB92" i="5"/>
  <c r="AB89" i="5"/>
  <c r="AB88" i="5"/>
  <c r="AB87" i="5"/>
  <c r="AB86" i="5"/>
  <c r="AB85" i="5"/>
  <c r="AB82" i="5"/>
  <c r="AB81" i="5"/>
  <c r="AB80" i="5"/>
  <c r="AB79" i="5"/>
  <c r="AB75" i="5"/>
  <c r="AB74" i="5"/>
  <c r="AB73" i="5"/>
  <c r="AB65" i="5"/>
  <c r="AB64" i="5"/>
  <c r="AB63" i="5"/>
  <c r="AB62" i="5"/>
  <c r="AB61" i="5"/>
  <c r="AB60" i="5"/>
  <c r="AB59" i="5"/>
  <c r="AB58" i="5"/>
  <c r="AB57" i="5"/>
  <c r="AB155" i="5"/>
  <c r="AB50" i="5"/>
  <c r="AB49" i="5"/>
  <c r="AB48" i="5"/>
  <c r="AB47" i="5"/>
  <c r="AB44" i="5"/>
  <c r="AB41" i="5"/>
  <c r="AB40" i="5"/>
  <c r="AB37" i="5"/>
  <c r="AB36" i="5"/>
  <c r="AB35" i="5"/>
  <c r="AB34" i="5"/>
  <c r="AB51" i="5"/>
  <c r="AB30" i="5"/>
  <c r="AB29" i="5"/>
  <c r="AB26" i="5"/>
  <c r="AB25" i="5"/>
  <c r="AB22" i="5"/>
  <c r="AB21" i="5"/>
  <c r="AB20" i="5"/>
  <c r="AB19" i="5"/>
  <c r="AB18" i="5"/>
  <c r="AB15" i="5"/>
  <c r="AB154" i="5"/>
  <c r="AB33" i="5"/>
  <c r="Z139" i="5"/>
  <c r="Z159" i="5" s="1"/>
  <c r="Z162" i="5" s="1"/>
  <c r="AA135" i="5"/>
  <c r="AX110" i="5"/>
  <c r="AA110" i="5"/>
  <c r="AA136" i="5" s="1"/>
  <c r="AX156" i="5"/>
  <c r="AX146" i="5"/>
  <c r="AX128" i="5"/>
  <c r="AX117" i="5"/>
  <c r="AX95" i="5"/>
  <c r="AX66" i="5"/>
  <c r="AX52" i="5"/>
  <c r="AA52" i="5"/>
  <c r="AA133" i="5" s="1"/>
  <c r="AA66" i="5"/>
  <c r="AA134" i="5" s="1"/>
  <c r="AA146" i="5"/>
  <c r="AA160" i="5" s="1"/>
  <c r="AA156" i="5"/>
  <c r="AA161" i="5" s="1"/>
  <c r="AA117" i="5"/>
  <c r="AA137" i="5" s="1"/>
  <c r="AA128" i="5"/>
  <c r="AA138" i="5" s="1"/>
  <c r="AB14" i="5"/>
  <c r="AC7" i="5"/>
  <c r="AC6" i="5"/>
  <c r="AC76" i="5" s="1"/>
  <c r="J76" i="5" s="1"/>
  <c r="AB95" i="5" l="1"/>
  <c r="AC153" i="5"/>
  <c r="AY153" i="5" s="1"/>
  <c r="BF153" i="5" s="1"/>
  <c r="AC152" i="5"/>
  <c r="AY152" i="5" s="1"/>
  <c r="BF152" i="5" s="1"/>
  <c r="AC151" i="5"/>
  <c r="AC145" i="5"/>
  <c r="AC144" i="5"/>
  <c r="AC127" i="5"/>
  <c r="AC126" i="5"/>
  <c r="AC125" i="5"/>
  <c r="AC124" i="5"/>
  <c r="J124" i="5" s="1"/>
  <c r="H124" i="5" s="1"/>
  <c r="AC123" i="5"/>
  <c r="AC122" i="5"/>
  <c r="AC116" i="5"/>
  <c r="AY116" i="5" s="1"/>
  <c r="BF116" i="5" s="1"/>
  <c r="AC115" i="5"/>
  <c r="AC109" i="5"/>
  <c r="AC108" i="5"/>
  <c r="AC107" i="5"/>
  <c r="AC106" i="5"/>
  <c r="AY106" i="5" s="1"/>
  <c r="BF106" i="5" s="1"/>
  <c r="AC105" i="5"/>
  <c r="AC104" i="5"/>
  <c r="AC103" i="5"/>
  <c r="AC102" i="5"/>
  <c r="AC101" i="5"/>
  <c r="AC100" i="5"/>
  <c r="AC94" i="5"/>
  <c r="AC93" i="5"/>
  <c r="AC92" i="5"/>
  <c r="AC89" i="5"/>
  <c r="AY89" i="5" s="1"/>
  <c r="AC88" i="5"/>
  <c r="AY88" i="5" s="1"/>
  <c r="BF88" i="5" s="1"/>
  <c r="AC87" i="5"/>
  <c r="AC86" i="5"/>
  <c r="AC85" i="5"/>
  <c r="AY85" i="5" s="1"/>
  <c r="BF85" i="5" s="1"/>
  <c r="AC82" i="5"/>
  <c r="AY82" i="5" s="1"/>
  <c r="BF82" i="5" s="1"/>
  <c r="AC81" i="5"/>
  <c r="AY81" i="5" s="1"/>
  <c r="BF81" i="5" s="1"/>
  <c r="AC80" i="5"/>
  <c r="AY80" i="5" s="1"/>
  <c r="BF80" i="5" s="1"/>
  <c r="AC79" i="5"/>
  <c r="AY79" i="5" s="1"/>
  <c r="BF79" i="5" s="1"/>
  <c r="AC75" i="5"/>
  <c r="AY75" i="5" s="1"/>
  <c r="BF75" i="5" s="1"/>
  <c r="AC74" i="5"/>
  <c r="AY74" i="5" s="1"/>
  <c r="BF74" i="5" s="1"/>
  <c r="AC73" i="5"/>
  <c r="AC65" i="5"/>
  <c r="AC64" i="5"/>
  <c r="AC63" i="5"/>
  <c r="AC62" i="5"/>
  <c r="AC61" i="5"/>
  <c r="AY61" i="5" s="1"/>
  <c r="BF61" i="5" s="1"/>
  <c r="AC60" i="5"/>
  <c r="AC59" i="5"/>
  <c r="AC58" i="5"/>
  <c r="AC57" i="5"/>
  <c r="AC51" i="5"/>
  <c r="AY51" i="5" s="1"/>
  <c r="BF51" i="5" s="1"/>
  <c r="AC50" i="5"/>
  <c r="AY50" i="5" s="1"/>
  <c r="BF50" i="5" s="1"/>
  <c r="AC49" i="5"/>
  <c r="AY49" i="5" s="1"/>
  <c r="BF49" i="5" s="1"/>
  <c r="AC48" i="5"/>
  <c r="AY48" i="5" s="1"/>
  <c r="BF48" i="5" s="1"/>
  <c r="AC47" i="5"/>
  <c r="AY47" i="5" s="1"/>
  <c r="BF47" i="5" s="1"/>
  <c r="AC44" i="5"/>
  <c r="AY44" i="5" s="1"/>
  <c r="BF44" i="5" s="1"/>
  <c r="AC155" i="5"/>
  <c r="AC40" i="5"/>
  <c r="AC37" i="5"/>
  <c r="AY37" i="5" s="1"/>
  <c r="BF37" i="5" s="1"/>
  <c r="AC36" i="5"/>
  <c r="AY36" i="5" s="1"/>
  <c r="BF36" i="5" s="1"/>
  <c r="AC35" i="5"/>
  <c r="AY35" i="5" s="1"/>
  <c r="BF35" i="5" s="1"/>
  <c r="AC34" i="5"/>
  <c r="AY34" i="5" s="1"/>
  <c r="BF34" i="5" s="1"/>
  <c r="AC33" i="5"/>
  <c r="AY33" i="5" s="1"/>
  <c r="BF33" i="5" s="1"/>
  <c r="AC30" i="5"/>
  <c r="AY30" i="5" s="1"/>
  <c r="BF30" i="5" s="1"/>
  <c r="AC29" i="5"/>
  <c r="AY29" i="5" s="1"/>
  <c r="BF29" i="5" s="1"/>
  <c r="AC41" i="5"/>
  <c r="AY41" i="5" s="1"/>
  <c r="BF41" i="5" s="1"/>
  <c r="AC25" i="5"/>
  <c r="AY25" i="5" s="1"/>
  <c r="BF25" i="5" s="1"/>
  <c r="AC22" i="5"/>
  <c r="J22" i="5" s="1"/>
  <c r="AC21" i="5"/>
  <c r="J21" i="5" s="1"/>
  <c r="AC20" i="5"/>
  <c r="J20" i="5" s="1"/>
  <c r="AC19" i="5"/>
  <c r="AY19" i="5" s="1"/>
  <c r="BF19" i="5" s="1"/>
  <c r="AC18" i="5"/>
  <c r="AY18" i="5" s="1"/>
  <c r="BF18" i="5" s="1"/>
  <c r="AC15" i="5"/>
  <c r="AY15" i="5" s="1"/>
  <c r="BF15" i="5" s="1"/>
  <c r="AC154" i="5"/>
  <c r="AY154" i="5" s="1"/>
  <c r="BF154" i="5" s="1"/>
  <c r="AC26" i="5"/>
  <c r="AY26" i="5" s="1"/>
  <c r="BF26" i="5" s="1"/>
  <c r="AA139" i="5"/>
  <c r="AA159" i="5" s="1"/>
  <c r="J108" i="5"/>
  <c r="AY108" i="5"/>
  <c r="BF108" i="5" s="1"/>
  <c r="J106" i="5"/>
  <c r="AB156" i="5"/>
  <c r="AB161" i="5" s="1"/>
  <c r="AB117" i="5"/>
  <c r="AB137" i="5" s="1"/>
  <c r="AB128" i="5"/>
  <c r="AB138" i="5" s="1"/>
  <c r="AB66" i="5"/>
  <c r="AB134" i="5" s="1"/>
  <c r="AB110" i="5"/>
  <c r="AB136" i="5" s="1"/>
  <c r="AX161" i="5"/>
  <c r="AX160" i="5"/>
  <c r="AX138" i="5"/>
  <c r="AX137" i="5"/>
  <c r="AX135" i="5"/>
  <c r="AX134" i="5"/>
  <c r="AX133" i="5"/>
  <c r="AB52" i="5"/>
  <c r="AY86" i="5"/>
  <c r="BF86" i="5" s="1"/>
  <c r="AY155" i="5"/>
  <c r="BF155" i="5" s="1"/>
  <c r="AY127" i="5"/>
  <c r="BF127" i="5" s="1"/>
  <c r="AY126" i="5"/>
  <c r="AY40" i="5"/>
  <c r="BF40" i="5" s="1"/>
  <c r="AC14" i="5"/>
  <c r="AY145" i="5"/>
  <c r="BF145" i="5" s="1"/>
  <c r="AD7" i="5"/>
  <c r="AD6" i="5"/>
  <c r="AX162" i="5" l="1"/>
  <c r="AX139" i="5"/>
  <c r="AC95" i="5"/>
  <c r="AY125" i="5"/>
  <c r="BF125" i="5" s="1"/>
  <c r="AA162" i="5"/>
  <c r="AY65" i="5"/>
  <c r="BF65" i="5" s="1"/>
  <c r="AY64" i="5"/>
  <c r="BF64" i="5" s="1"/>
  <c r="AY63" i="5"/>
  <c r="BF63" i="5" s="1"/>
  <c r="AY62" i="5"/>
  <c r="BF62" i="5" s="1"/>
  <c r="AY60" i="5"/>
  <c r="BF60" i="5" s="1"/>
  <c r="J59" i="5"/>
  <c r="AY59" i="5"/>
  <c r="BF59" i="5" s="1"/>
  <c r="J58" i="5"/>
  <c r="AY58" i="5"/>
  <c r="BF58" i="5" s="1"/>
  <c r="AC146" i="5"/>
  <c r="AC160" i="5" s="1"/>
  <c r="J105" i="5"/>
  <c r="AY105" i="5"/>
  <c r="BF105" i="5" s="1"/>
  <c r="AY102" i="5"/>
  <c r="BF102" i="5" s="1"/>
  <c r="J102" i="5"/>
  <c r="J104" i="5"/>
  <c r="AY104" i="5"/>
  <c r="BF104" i="5" s="1"/>
  <c r="J103" i="5"/>
  <c r="AY103" i="5"/>
  <c r="BF103" i="5" s="1"/>
  <c r="J109" i="5"/>
  <c r="AY109" i="5"/>
  <c r="BF109" i="5" s="1"/>
  <c r="J107" i="5"/>
  <c r="AY107" i="5"/>
  <c r="BF107" i="5" s="1"/>
  <c r="AC117" i="5"/>
  <c r="AC137" i="5" s="1"/>
  <c r="J137" i="5" s="1"/>
  <c r="AY123" i="5"/>
  <c r="BF123" i="5" s="1"/>
  <c r="J123" i="5"/>
  <c r="AC156" i="5"/>
  <c r="AC161" i="5" s="1"/>
  <c r="AC128" i="5"/>
  <c r="AC138" i="5" s="1"/>
  <c r="AC66" i="5"/>
  <c r="AC52" i="5"/>
  <c r="AY87" i="5"/>
  <c r="BF87" i="5" s="1"/>
  <c r="J87" i="5"/>
  <c r="AY92" i="5"/>
  <c r="BF92" i="5" s="1"/>
  <c r="J92" i="5"/>
  <c r="AY93" i="5"/>
  <c r="BF93" i="5" s="1"/>
  <c r="J93" i="5"/>
  <c r="AY94" i="5"/>
  <c r="BF94" i="5" s="1"/>
  <c r="J94" i="5"/>
  <c r="AY101" i="5"/>
  <c r="BF101" i="5" s="1"/>
  <c r="J101" i="5"/>
  <c r="AC110" i="5"/>
  <c r="AY100" i="5"/>
  <c r="J100" i="5"/>
  <c r="AB133" i="5"/>
  <c r="AB135" i="5"/>
  <c r="BF89" i="5"/>
  <c r="AY14" i="5"/>
  <c r="AY57" i="5"/>
  <c r="AY73" i="5"/>
  <c r="BF73" i="5" s="1"/>
  <c r="AY144" i="5"/>
  <c r="AY151" i="5"/>
  <c r="AY115" i="5"/>
  <c r="AY122" i="5"/>
  <c r="J15" i="5"/>
  <c r="J89" i="5"/>
  <c r="J47" i="5"/>
  <c r="J48" i="5"/>
  <c r="J49" i="5"/>
  <c r="J50" i="5"/>
  <c r="J51" i="5"/>
  <c r="J44" i="5"/>
  <c r="J40" i="5"/>
  <c r="J41" i="5"/>
  <c r="J33" i="5"/>
  <c r="J34" i="5"/>
  <c r="J35" i="5"/>
  <c r="J36" i="5"/>
  <c r="J37" i="5"/>
  <c r="J29" i="5"/>
  <c r="J30" i="5"/>
  <c r="J25" i="5"/>
  <c r="J26" i="5"/>
  <c r="J18" i="5"/>
  <c r="J19" i="5"/>
  <c r="J125" i="5"/>
  <c r="J152" i="5"/>
  <c r="J153" i="5"/>
  <c r="J154" i="5"/>
  <c r="J155" i="5"/>
  <c r="J145" i="5"/>
  <c r="J127" i="5"/>
  <c r="J85" i="5"/>
  <c r="J88" i="5"/>
  <c r="J8" i="10" s="1"/>
  <c r="K8" i="10" s="1"/>
  <c r="J86" i="5"/>
  <c r="J79" i="5"/>
  <c r="J80" i="5"/>
  <c r="J81" i="5"/>
  <c r="J82" i="5"/>
  <c r="J74" i="5"/>
  <c r="J75" i="5"/>
  <c r="J60" i="5"/>
  <c r="J61" i="5"/>
  <c r="J62" i="5"/>
  <c r="J63" i="5"/>
  <c r="J64" i="5"/>
  <c r="J65" i="5"/>
  <c r="J151" i="5"/>
  <c r="J144" i="5"/>
  <c r="J122" i="5"/>
  <c r="J115" i="5"/>
  <c r="J73" i="5"/>
  <c r="J57" i="5"/>
  <c r="J14" i="5"/>
  <c r="AE7" i="5"/>
  <c r="AE6" i="5"/>
  <c r="J117" i="5" l="1"/>
  <c r="J13" i="10" s="1"/>
  <c r="K13" i="10" s="1"/>
  <c r="J10" i="10"/>
  <c r="J11" i="10"/>
  <c r="K11" i="10" s="1"/>
  <c r="F11" i="6"/>
  <c r="H11" i="6" s="1"/>
  <c r="H12" i="8"/>
  <c r="J12" i="8" s="1"/>
  <c r="J15" i="10"/>
  <c r="K15" i="10" s="1"/>
  <c r="H14" i="8"/>
  <c r="J14" i="8" s="1"/>
  <c r="J17" i="10"/>
  <c r="K17" i="10" s="1"/>
  <c r="J14" i="10"/>
  <c r="K14" i="10" s="1"/>
  <c r="K10" i="10"/>
  <c r="J110" i="5"/>
  <c r="J12" i="10" s="1"/>
  <c r="K12" i="10" s="1"/>
  <c r="AC136" i="5"/>
  <c r="J136" i="5" s="1"/>
  <c r="AB139" i="5"/>
  <c r="AB159" i="5" s="1"/>
  <c r="AB162" i="5" s="1"/>
  <c r="J160" i="5"/>
  <c r="J146" i="5"/>
  <c r="J161" i="5"/>
  <c r="J156" i="5"/>
  <c r="H9" i="8"/>
  <c r="J9" i="8" s="1"/>
  <c r="AC134" i="5"/>
  <c r="J134" i="5" s="1"/>
  <c r="J66" i="5"/>
  <c r="J9" i="10" s="1"/>
  <c r="K9" i="10" s="1"/>
  <c r="AC133" i="5"/>
  <c r="J52" i="5"/>
  <c r="J7" i="10" s="1"/>
  <c r="J95" i="5"/>
  <c r="AC135" i="5"/>
  <c r="J135" i="5"/>
  <c r="AY110" i="5"/>
  <c r="BF110" i="5" s="1"/>
  <c r="BF100" i="5"/>
  <c r="AY52" i="5"/>
  <c r="BF14" i="5"/>
  <c r="AY66" i="5"/>
  <c r="BF57" i="5"/>
  <c r="AY146" i="5"/>
  <c r="BF144" i="5"/>
  <c r="AY156" i="5"/>
  <c r="BF151" i="5"/>
  <c r="AY117" i="5"/>
  <c r="BF115" i="5"/>
  <c r="AY128" i="5"/>
  <c r="BF122" i="5"/>
  <c r="BC126" i="5"/>
  <c r="AM128" i="5"/>
  <c r="AY95" i="5"/>
  <c r="H7" i="8"/>
  <c r="J7" i="8" s="1"/>
  <c r="H8" i="8"/>
  <c r="J8" i="8" s="1"/>
  <c r="J126" i="5"/>
  <c r="AF7" i="5"/>
  <c r="AF6" i="5"/>
  <c r="F10" i="6" l="1"/>
  <c r="H10" i="6" s="1"/>
  <c r="F13" i="6"/>
  <c r="H13" i="6" s="1"/>
  <c r="J21" i="10"/>
  <c r="K21" i="10" s="1"/>
  <c r="F14" i="6"/>
  <c r="H14" i="6" s="1"/>
  <c r="J22" i="10"/>
  <c r="F8" i="6"/>
  <c r="H8" i="6" s="1"/>
  <c r="F9" i="6"/>
  <c r="H9" i="6" s="1"/>
  <c r="H13" i="8"/>
  <c r="J13" i="8" s="1"/>
  <c r="J16" i="10"/>
  <c r="J18" i="10" s="1"/>
  <c r="J133" i="5"/>
  <c r="F7" i="6" s="1"/>
  <c r="AC139" i="5"/>
  <c r="AC159" i="5" s="1"/>
  <c r="H6" i="8"/>
  <c r="J6" i="8" s="1"/>
  <c r="BF52" i="5"/>
  <c r="AY133" i="5"/>
  <c r="BF66" i="5"/>
  <c r="AY134" i="5"/>
  <c r="BF134" i="5" s="1"/>
  <c r="BF146" i="5"/>
  <c r="AY160" i="5"/>
  <c r="BF156" i="5"/>
  <c r="AY161" i="5"/>
  <c r="BF161" i="5" s="1"/>
  <c r="BF117" i="5"/>
  <c r="AY137" i="5"/>
  <c r="BF137" i="5" s="1"/>
  <c r="AY138" i="5"/>
  <c r="BF126" i="5"/>
  <c r="BC128" i="5"/>
  <c r="BC138" i="5" s="1"/>
  <c r="BC139" i="5" s="1"/>
  <c r="J128" i="5"/>
  <c r="AM138" i="5"/>
  <c r="AM139" i="5" s="1"/>
  <c r="AM159" i="5" s="1"/>
  <c r="AY135" i="5"/>
  <c r="BF135" i="5" s="1"/>
  <c r="BF95" i="5"/>
  <c r="AG7" i="5"/>
  <c r="AG6" i="5"/>
  <c r="K22" i="10" l="1"/>
  <c r="J23" i="10"/>
  <c r="K16" i="10"/>
  <c r="AY139" i="5"/>
  <c r="AC162" i="5"/>
  <c r="BF160" i="5"/>
  <c r="AY162" i="5"/>
  <c r="BF162" i="5" s="1"/>
  <c r="J139" i="5"/>
  <c r="H7" i="6"/>
  <c r="BF133" i="5"/>
  <c r="J138" i="5"/>
  <c r="BF128" i="5"/>
  <c r="BF138" i="5"/>
  <c r="AH7" i="5"/>
  <c r="AH6" i="5"/>
  <c r="F12" i="6" l="1"/>
  <c r="H12" i="6" s="1"/>
  <c r="J159" i="5"/>
  <c r="AM162" i="5"/>
  <c r="J162" i="5" s="1"/>
  <c r="N23" i="10" s="1"/>
  <c r="H19" i="8"/>
  <c r="F15" i="6"/>
  <c r="H15" i="6"/>
  <c r="AI7" i="5"/>
  <c r="AI6" i="5"/>
  <c r="J165" i="5" l="1"/>
  <c r="AJ7" i="5"/>
  <c r="AJ6" i="5"/>
  <c r="AK7" i="5" l="1"/>
  <c r="AK6" i="5"/>
  <c r="AL7" i="5" l="1"/>
  <c r="AL6" i="5"/>
  <c r="AM7" i="5" l="1"/>
  <c r="AM6" i="5"/>
  <c r="AN7" i="5" l="1"/>
  <c r="AN6" i="5"/>
  <c r="AO7" i="5" l="1"/>
  <c r="AO6" i="5"/>
  <c r="AP7" i="5" l="1"/>
  <c r="AP6" i="5"/>
  <c r="AQ7" i="5" l="1"/>
  <c r="AQ6" i="5"/>
  <c r="AR7" i="5" l="1"/>
  <c r="G76" i="5" s="1"/>
  <c r="AR6" i="5"/>
  <c r="G14" i="5" l="1"/>
  <c r="H14" i="5" s="1"/>
  <c r="H76" i="5"/>
  <c r="G136" i="5"/>
  <c r="H136" i="5" s="1"/>
  <c r="G125" i="5"/>
  <c r="G59" i="5"/>
  <c r="H59" i="5" s="1"/>
  <c r="G58" i="5"/>
  <c r="H58" i="5" s="1"/>
  <c r="G57" i="5"/>
  <c r="H57" i="5" s="1"/>
  <c r="G65" i="5"/>
  <c r="H65" i="5" s="1"/>
  <c r="G64" i="5"/>
  <c r="H64" i="5" s="1"/>
  <c r="G63" i="5"/>
  <c r="H63" i="5" s="1"/>
  <c r="G62" i="5"/>
  <c r="H62" i="5" s="1"/>
  <c r="G60" i="5"/>
  <c r="H60" i="5" s="1"/>
  <c r="G106" i="5"/>
  <c r="H106" i="5" s="1"/>
  <c r="G108" i="5"/>
  <c r="H108" i="5" s="1"/>
  <c r="G103" i="5"/>
  <c r="H103" i="5" s="1"/>
  <c r="G105" i="5"/>
  <c r="H105" i="5" s="1"/>
  <c r="G104" i="5"/>
  <c r="H104" i="5" s="1"/>
  <c r="G102" i="5"/>
  <c r="H102" i="5" s="1"/>
  <c r="G109" i="5"/>
  <c r="H109" i="5" s="1"/>
  <c r="G107" i="5"/>
  <c r="H107" i="5" s="1"/>
  <c r="G123" i="5"/>
  <c r="H123" i="5" s="1"/>
  <c r="G87" i="5"/>
  <c r="H87" i="5" s="1"/>
  <c r="G94" i="5"/>
  <c r="H94" i="5" s="1"/>
  <c r="G93" i="5"/>
  <c r="H93" i="5" s="1"/>
  <c r="G92" i="5"/>
  <c r="G101" i="5"/>
  <c r="H101" i="5" s="1"/>
  <c r="G100" i="5"/>
  <c r="H100" i="5" s="1"/>
  <c r="G25" i="5"/>
  <c r="H25" i="5" s="1"/>
  <c r="G20" i="5"/>
  <c r="H20" i="5" s="1"/>
  <c r="G22" i="5"/>
  <c r="H22" i="5" s="1"/>
  <c r="G21" i="5"/>
  <c r="H21" i="5" s="1"/>
  <c r="G51" i="5"/>
  <c r="H51" i="5" s="1"/>
  <c r="G50" i="5"/>
  <c r="H50" i="5" s="1"/>
  <c r="G49" i="5"/>
  <c r="H49" i="5" s="1"/>
  <c r="F37" i="5"/>
  <c r="G30" i="5"/>
  <c r="H30" i="5" s="1"/>
  <c r="G29" i="5"/>
  <c r="H29" i="5" s="1"/>
  <c r="G37" i="5"/>
  <c r="H37" i="5" s="1"/>
  <c r="G36" i="5"/>
  <c r="H36" i="5" s="1"/>
  <c r="G35" i="5"/>
  <c r="H35" i="5" s="1"/>
  <c r="G34" i="5"/>
  <c r="H34" i="5" s="1"/>
  <c r="G33" i="5"/>
  <c r="H33" i="5" s="1"/>
  <c r="G48" i="5"/>
  <c r="H48" i="5" s="1"/>
  <c r="G47" i="5"/>
  <c r="H47" i="5" s="1"/>
  <c r="G44" i="5"/>
  <c r="H44" i="5" s="1"/>
  <c r="G26" i="5"/>
  <c r="H26" i="5" s="1"/>
  <c r="G19" i="5"/>
  <c r="H19" i="5" s="1"/>
  <c r="G18" i="5"/>
  <c r="H18" i="5" s="1"/>
  <c r="G41" i="5"/>
  <c r="H41" i="5" s="1"/>
  <c r="G40" i="5"/>
  <c r="H40" i="5" s="1"/>
  <c r="G89" i="5"/>
  <c r="H89" i="5" s="1"/>
  <c r="G15" i="5"/>
  <c r="H15" i="5" s="1"/>
  <c r="G133" i="5"/>
  <c r="H133" i="5" s="1"/>
  <c r="G134" i="5"/>
  <c r="H134" i="5" s="1"/>
  <c r="G137" i="5"/>
  <c r="H137" i="5" s="1"/>
  <c r="G138" i="5"/>
  <c r="H138" i="5" s="1"/>
  <c r="G160" i="5"/>
  <c r="G161" i="5"/>
  <c r="G135" i="5"/>
  <c r="H135" i="5" s="1"/>
  <c r="G155" i="5"/>
  <c r="H155" i="5" s="1"/>
  <c r="G154" i="5"/>
  <c r="H154" i="5" s="1"/>
  <c r="G153" i="5"/>
  <c r="H153" i="5" s="1"/>
  <c r="G152" i="5"/>
  <c r="H152" i="5" s="1"/>
  <c r="G151" i="5"/>
  <c r="H151" i="5" s="1"/>
  <c r="G144" i="5"/>
  <c r="H144" i="5" s="1"/>
  <c r="G145" i="5"/>
  <c r="H145" i="5" s="1"/>
  <c r="G127" i="5"/>
  <c r="G126" i="5"/>
  <c r="G122" i="5"/>
  <c r="G115" i="5"/>
  <c r="H115" i="5" s="1"/>
  <c r="G116" i="5"/>
  <c r="H116" i="5" s="1"/>
  <c r="G86" i="5"/>
  <c r="H86" i="5" s="1"/>
  <c r="G88" i="5"/>
  <c r="G85" i="5"/>
  <c r="H85" i="5" s="1"/>
  <c r="G82" i="5"/>
  <c r="H82" i="5" s="1"/>
  <c r="G81" i="5"/>
  <c r="H81" i="5" s="1"/>
  <c r="G80" i="5"/>
  <c r="H80" i="5" s="1"/>
  <c r="G79" i="5"/>
  <c r="H79" i="5" s="1"/>
  <c r="G75" i="5"/>
  <c r="H75" i="5" s="1"/>
  <c r="G74" i="5"/>
  <c r="H74" i="5" s="1"/>
  <c r="G73" i="5"/>
  <c r="G61" i="5"/>
  <c r="H61" i="5" s="1"/>
  <c r="H10" i="10" l="1"/>
  <c r="H88" i="5"/>
  <c r="I8" i="10" s="1"/>
  <c r="H8" i="10"/>
  <c r="H125" i="5"/>
  <c r="I15" i="10" s="1"/>
  <c r="H15" i="10"/>
  <c r="H11" i="10"/>
  <c r="H92" i="5"/>
  <c r="I11" i="10" s="1"/>
  <c r="H21" i="10"/>
  <c r="H160" i="5"/>
  <c r="I21" i="10" s="1"/>
  <c r="H161" i="5"/>
  <c r="I22" i="10" s="1"/>
  <c r="H22" i="10"/>
  <c r="H17" i="10"/>
  <c r="H127" i="5"/>
  <c r="I17" i="10" s="1"/>
  <c r="H16" i="10"/>
  <c r="H126" i="5"/>
  <c r="I16" i="10" s="1"/>
  <c r="H14" i="10"/>
  <c r="H122" i="5"/>
  <c r="I14" i="10" s="1"/>
  <c r="H73" i="5"/>
  <c r="G139" i="5"/>
  <c r="G159" i="5" s="1"/>
  <c r="G95" i="5"/>
  <c r="G110" i="5"/>
  <c r="H12" i="10" s="1"/>
  <c r="H110" i="5"/>
  <c r="I12" i="10" s="1"/>
  <c r="H52" i="5"/>
  <c r="I7" i="10" s="1"/>
  <c r="F52" i="5"/>
  <c r="F7" i="10" s="1"/>
  <c r="G52" i="5"/>
  <c r="H7" i="10" s="1"/>
  <c r="M7" i="6"/>
  <c r="M8" i="6"/>
  <c r="M11" i="6"/>
  <c r="M12" i="6"/>
  <c r="M13" i="6"/>
  <c r="M14" i="6"/>
  <c r="M9" i="6"/>
  <c r="H156" i="5"/>
  <c r="G156" i="5"/>
  <c r="G128" i="5"/>
  <c r="H146" i="5"/>
  <c r="G146" i="5"/>
  <c r="H117" i="5"/>
  <c r="G117" i="5"/>
  <c r="H13" i="10" s="1"/>
  <c r="H66" i="5"/>
  <c r="I9" i="10" s="1"/>
  <c r="G66" i="5"/>
  <c r="H9" i="10" s="1"/>
  <c r="H18" i="10" l="1"/>
  <c r="H23" i="10" s="1"/>
  <c r="I10" i="10"/>
  <c r="H95" i="5"/>
  <c r="G162" i="5"/>
  <c r="H159" i="5"/>
  <c r="F133" i="5"/>
  <c r="F139" i="5" s="1"/>
  <c r="J140" i="5" s="1"/>
  <c r="H11" i="8"/>
  <c r="J11" i="8" s="1"/>
  <c r="I13" i="10"/>
  <c r="H139" i="5"/>
  <c r="H162" i="5" s="1"/>
  <c r="H128" i="5"/>
  <c r="H10" i="8"/>
  <c r="J53" i="5"/>
  <c r="K124" i="2"/>
  <c r="T124" i="2" s="1"/>
  <c r="K123" i="2"/>
  <c r="T123" i="2" s="1"/>
  <c r="K122" i="2"/>
  <c r="T122" i="2" s="1"/>
  <c r="K121" i="2"/>
  <c r="T121" i="2" s="1"/>
  <c r="K120" i="2"/>
  <c r="T120" i="2" s="1"/>
  <c r="K119" i="2"/>
  <c r="T119" i="2" s="1"/>
  <c r="K118" i="2"/>
  <c r="T118" i="2" s="1"/>
  <c r="K117" i="2"/>
  <c r="T117" i="2" s="1"/>
  <c r="K116" i="2"/>
  <c r="T116" i="2" s="1"/>
  <c r="K115" i="2"/>
  <c r="T115" i="2" s="1"/>
  <c r="K114" i="2"/>
  <c r="T114" i="2" s="1"/>
  <c r="K113" i="2"/>
  <c r="T113" i="2" s="1"/>
  <c r="K112" i="2"/>
  <c r="T112" i="2" s="1"/>
  <c r="K111" i="2"/>
  <c r="T111" i="2" s="1"/>
  <c r="K110" i="2"/>
  <c r="T110" i="2" s="1"/>
  <c r="K109" i="2"/>
  <c r="T109" i="2" s="1"/>
  <c r="K108" i="2"/>
  <c r="T108" i="2" s="1"/>
  <c r="K107" i="2"/>
  <c r="T107" i="2" s="1"/>
  <c r="K106" i="2"/>
  <c r="T106" i="2" s="1"/>
  <c r="K105" i="2"/>
  <c r="T105" i="2" s="1"/>
  <c r="K104" i="2"/>
  <c r="T104" i="2" s="1"/>
  <c r="K103" i="2"/>
  <c r="T103" i="2" s="1"/>
  <c r="K102" i="2"/>
  <c r="T102" i="2" s="1"/>
  <c r="K101" i="2"/>
  <c r="T101" i="2" s="1"/>
  <c r="K100" i="2"/>
  <c r="T100" i="2" s="1"/>
  <c r="K99" i="2"/>
  <c r="T99" i="2" s="1"/>
  <c r="K98" i="2"/>
  <c r="T98" i="2" s="1"/>
  <c r="K97" i="2"/>
  <c r="T97" i="2" s="1"/>
  <c r="K96" i="2"/>
  <c r="T96" i="2" s="1"/>
  <c r="K95" i="2"/>
  <c r="T95" i="2" s="1"/>
  <c r="K94" i="2"/>
  <c r="T94" i="2" s="1"/>
  <c r="K93" i="2"/>
  <c r="T93" i="2" s="1"/>
  <c r="K92" i="2"/>
  <c r="T92" i="2" s="1"/>
  <c r="K91" i="2"/>
  <c r="T91" i="2" s="1"/>
  <c r="K90" i="2"/>
  <c r="T90" i="2" s="1"/>
  <c r="K89" i="2"/>
  <c r="T89" i="2" s="1"/>
  <c r="K88" i="2"/>
  <c r="T88" i="2" s="1"/>
  <c r="K87" i="2"/>
  <c r="T87" i="2" s="1"/>
  <c r="K86" i="2"/>
  <c r="T86" i="2" s="1"/>
  <c r="K85" i="2"/>
  <c r="T85" i="2" s="1"/>
  <c r="K84" i="2"/>
  <c r="T84" i="2" s="1"/>
  <c r="K83" i="2"/>
  <c r="T83" i="2" s="1"/>
  <c r="K82" i="2"/>
  <c r="T82" i="2" s="1"/>
  <c r="K81" i="2"/>
  <c r="T81" i="2" s="1"/>
  <c r="K80" i="2"/>
  <c r="T80" i="2" s="1"/>
  <c r="K79" i="2"/>
  <c r="T79" i="2" s="1"/>
  <c r="K78" i="2"/>
  <c r="T78" i="2" s="1"/>
  <c r="K77" i="2"/>
  <c r="T77" i="2" s="1"/>
  <c r="K76" i="2"/>
  <c r="T76" i="2" s="1"/>
  <c r="K75" i="2"/>
  <c r="T75" i="2" s="1"/>
  <c r="K74" i="2"/>
  <c r="T74" i="2" s="1"/>
  <c r="K73" i="2"/>
  <c r="T73" i="2" s="1"/>
  <c r="K72" i="2"/>
  <c r="T72" i="2" s="1"/>
  <c r="K71" i="2"/>
  <c r="T71" i="2" s="1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1" i="2"/>
  <c r="M72" i="2"/>
  <c r="M73" i="2"/>
  <c r="M74" i="2"/>
  <c r="M75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G5" i="3"/>
  <c r="H4" i="3" s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5" i="2"/>
  <c r="F159" i="5" l="1"/>
  <c r="F162" i="5" s="1"/>
  <c r="J164" i="5" s="1"/>
  <c r="H164" i="5" s="1"/>
  <c r="I18" i="10"/>
  <c r="I23" i="10" s="1"/>
  <c r="K7" i="10"/>
  <c r="F18" i="10"/>
  <c r="H16" i="8"/>
  <c r="J10" i="8"/>
  <c r="G8" i="3"/>
  <c r="F8" i="3"/>
  <c r="F7" i="3"/>
  <c r="F9" i="3"/>
  <c r="H5" i="3"/>
  <c r="K18" i="10" l="1"/>
  <c r="K23" i="10" s="1"/>
  <c r="F23" i="10"/>
  <c r="H8" i="3"/>
  <c r="H18" i="8"/>
  <c r="H20" i="8" s="1"/>
  <c r="H22" i="8"/>
  <c r="J16" i="8"/>
  <c r="I4" i="3"/>
  <c r="AN8" i="3"/>
  <c r="I5" i="3"/>
  <c r="I8" i="3" l="1"/>
  <c r="I7" i="3"/>
  <c r="J4" i="3"/>
  <c r="J5" i="3"/>
  <c r="J8" i="3" s="1"/>
  <c r="I9" i="3" l="1"/>
  <c r="K4" i="3"/>
  <c r="K5" i="3"/>
  <c r="K8" i="3" s="1"/>
  <c r="AO8" i="3" l="1"/>
  <c r="L4" i="3"/>
  <c r="L5" i="3"/>
  <c r="L8" i="3" s="1"/>
  <c r="M4" i="3" l="1"/>
  <c r="M5" i="3"/>
  <c r="M8" i="3" s="1"/>
  <c r="N4" i="3" l="1"/>
  <c r="N5" i="3"/>
  <c r="N8" i="3" s="1"/>
  <c r="AP8" i="3" l="1"/>
  <c r="O4" i="3"/>
  <c r="O5" i="3"/>
  <c r="O8" i="3" s="1"/>
  <c r="P4" i="3" l="1"/>
  <c r="P5" i="3"/>
  <c r="P8" i="3" s="1"/>
  <c r="Q4" i="3" l="1"/>
  <c r="Q5" i="3"/>
  <c r="Q8" i="3" s="1"/>
  <c r="AQ8" i="3" l="1"/>
  <c r="R4" i="3"/>
  <c r="R5" i="3"/>
  <c r="R8" i="3" l="1"/>
  <c r="R7" i="3"/>
  <c r="S4" i="3"/>
  <c r="S5" i="3"/>
  <c r="S8" i="3" l="1"/>
  <c r="S7" i="3"/>
  <c r="R9" i="3"/>
  <c r="T4" i="3"/>
  <c r="T5" i="3"/>
  <c r="T8" i="3" l="1"/>
  <c r="T7" i="3"/>
  <c r="AR7" i="3" s="1"/>
  <c r="S9" i="3"/>
  <c r="AR8" i="3"/>
  <c r="U4" i="3"/>
  <c r="U5" i="3"/>
  <c r="U8" i="3" l="1"/>
  <c r="U7" i="3"/>
  <c r="T9" i="3"/>
  <c r="V4" i="3"/>
  <c r="V5" i="3"/>
  <c r="V8" i="3" l="1"/>
  <c r="V7" i="3"/>
  <c r="AR9" i="3"/>
  <c r="U9" i="3"/>
  <c r="W4" i="3"/>
  <c r="W5" i="3"/>
  <c r="W8" i="3" l="1"/>
  <c r="W7" i="3"/>
  <c r="V9" i="3"/>
  <c r="AS8" i="3"/>
  <c r="X4" i="3"/>
  <c r="X5" i="3"/>
  <c r="X8" i="3" l="1"/>
  <c r="X7" i="3"/>
  <c r="W9" i="3"/>
  <c r="AS7" i="3"/>
  <c r="Y4" i="3"/>
  <c r="Y5" i="3"/>
  <c r="Y8" i="3" l="1"/>
  <c r="Y7" i="3"/>
  <c r="AS9" i="3"/>
  <c r="X9" i="3"/>
  <c r="Z4" i="3"/>
  <c r="Z5" i="3"/>
  <c r="Z8" i="3" l="1"/>
  <c r="Z7" i="3"/>
  <c r="Y9" i="3"/>
  <c r="AT8" i="3"/>
  <c r="AA4" i="3"/>
  <c r="AA5" i="3"/>
  <c r="AA8" i="3" l="1"/>
  <c r="AA7" i="3"/>
  <c r="Z9" i="3"/>
  <c r="AT7" i="3"/>
  <c r="AB4" i="3"/>
  <c r="AB5" i="3"/>
  <c r="AB8" i="3" l="1"/>
  <c r="AB7" i="3"/>
  <c r="AT9" i="3"/>
  <c r="AA9" i="3"/>
  <c r="AC4" i="3"/>
  <c r="AC5" i="3"/>
  <c r="AC8" i="3" l="1"/>
  <c r="AC7" i="3"/>
  <c r="AB9" i="3"/>
  <c r="AU8" i="3"/>
  <c r="AD4" i="3"/>
  <c r="AD5" i="3"/>
  <c r="AD8" i="3" l="1"/>
  <c r="AD7" i="3"/>
  <c r="AC9" i="3"/>
  <c r="AU7" i="3"/>
  <c r="AE4" i="3"/>
  <c r="AE5" i="3"/>
  <c r="AE8" i="3" l="1"/>
  <c r="AE7" i="3"/>
  <c r="AU9" i="3"/>
  <c r="AD9" i="3"/>
  <c r="AF4" i="3"/>
  <c r="AF5" i="3"/>
  <c r="AF8" i="3" l="1"/>
  <c r="AF7" i="3"/>
  <c r="AE9" i="3"/>
  <c r="AV8" i="3"/>
  <c r="AG4" i="3"/>
  <c r="AG5" i="3"/>
  <c r="AG8" i="3" l="1"/>
  <c r="AG7" i="3"/>
  <c r="AF9" i="3"/>
  <c r="AV7" i="3"/>
  <c r="AH4" i="3"/>
  <c r="AH5" i="3"/>
  <c r="AH8" i="3" l="1"/>
  <c r="AH7" i="3"/>
  <c r="AV9" i="3"/>
  <c r="AG9" i="3"/>
  <c r="AI4" i="3"/>
  <c r="AI5" i="3"/>
  <c r="AI8" i="3" l="1"/>
  <c r="AI7" i="3"/>
  <c r="AH9" i="3"/>
  <c r="AW8" i="3"/>
  <c r="AJ4" i="3"/>
  <c r="AJ5" i="3"/>
  <c r="AJ8" i="3" l="1"/>
  <c r="AJ7" i="3"/>
  <c r="AI9" i="3"/>
  <c r="AW7" i="3"/>
  <c r="AK4" i="3"/>
  <c r="AK5" i="3"/>
  <c r="AK8" i="3" l="1"/>
  <c r="AK7" i="3"/>
  <c r="AW9" i="3"/>
  <c r="AJ9" i="3"/>
  <c r="AL4" i="3"/>
  <c r="AL5" i="3"/>
  <c r="AL8" i="3" l="1"/>
  <c r="AL7" i="3"/>
  <c r="AX7" i="3"/>
  <c r="AK9" i="3"/>
  <c r="D8" i="3" l="1"/>
  <c r="AX8" i="3"/>
  <c r="AZ8" i="3" s="1"/>
  <c r="AX9" i="3"/>
  <c r="AL9" i="3"/>
  <c r="K70" i="2" l="1"/>
  <c r="K69" i="2"/>
  <c r="K68" i="2"/>
  <c r="K67" i="2"/>
  <c r="K66" i="2"/>
  <c r="K65" i="2"/>
  <c r="K64" i="2"/>
  <c r="T64" i="2" s="1"/>
  <c r="K63" i="2"/>
  <c r="K62" i="2"/>
  <c r="K61" i="2"/>
  <c r="K60" i="2"/>
  <c r="K59" i="2"/>
  <c r="K58" i="2"/>
  <c r="K57" i="2"/>
  <c r="K56" i="2"/>
  <c r="K55" i="2"/>
  <c r="K54" i="2"/>
  <c r="K53" i="2"/>
  <c r="K52" i="2"/>
  <c r="T52" i="2" s="1"/>
  <c r="K51" i="2"/>
  <c r="K50" i="2"/>
  <c r="K49" i="2"/>
  <c r="K48" i="2"/>
  <c r="K47" i="2"/>
  <c r="K46" i="2"/>
  <c r="K45" i="2"/>
  <c r="T45" i="2" s="1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T21" i="2" s="1"/>
  <c r="K20" i="2"/>
  <c r="K19" i="2"/>
  <c r="K18" i="2"/>
  <c r="K6" i="2"/>
  <c r="T6" i="2" s="1"/>
  <c r="K7" i="2"/>
  <c r="K8" i="2"/>
  <c r="T8" i="2" s="1"/>
  <c r="K9" i="2"/>
  <c r="K10" i="2"/>
  <c r="K11" i="2"/>
  <c r="T11" i="2" s="1"/>
  <c r="K12" i="2"/>
  <c r="K13" i="2"/>
  <c r="K14" i="2"/>
  <c r="K15" i="2"/>
  <c r="K16" i="2"/>
  <c r="T16" i="2" s="1"/>
  <c r="K17" i="2"/>
  <c r="T17" i="2" s="1"/>
  <c r="K5" i="2"/>
  <c r="M70" i="2" l="1"/>
  <c r="T70" i="2"/>
  <c r="M69" i="2"/>
  <c r="T69" i="2"/>
  <c r="M68" i="2"/>
  <c r="T68" i="2"/>
  <c r="M67" i="2"/>
  <c r="T67" i="2"/>
  <c r="M66" i="2"/>
  <c r="T66" i="2"/>
  <c r="M65" i="2"/>
  <c r="T65" i="2"/>
  <c r="M63" i="2"/>
  <c r="T63" i="2"/>
  <c r="M62" i="2"/>
  <c r="T62" i="2"/>
  <c r="M61" i="2"/>
  <c r="T61" i="2"/>
  <c r="M60" i="2"/>
  <c r="T60" i="2"/>
  <c r="M59" i="2"/>
  <c r="T59" i="2"/>
  <c r="M58" i="2"/>
  <c r="T58" i="2"/>
  <c r="M57" i="2"/>
  <c r="T57" i="2"/>
  <c r="M56" i="2"/>
  <c r="T56" i="2"/>
  <c r="M55" i="2"/>
  <c r="T55" i="2"/>
  <c r="M54" i="2"/>
  <c r="T54" i="2"/>
  <c r="M53" i="2"/>
  <c r="T53" i="2"/>
  <c r="M51" i="2"/>
  <c r="T51" i="2"/>
  <c r="M50" i="2"/>
  <c r="T50" i="2"/>
  <c r="M49" i="2"/>
  <c r="T49" i="2"/>
  <c r="M48" i="2"/>
  <c r="T48" i="2"/>
  <c r="M47" i="2"/>
  <c r="T47" i="2"/>
  <c r="M46" i="2"/>
  <c r="T46" i="2"/>
  <c r="M44" i="2"/>
  <c r="T44" i="2"/>
  <c r="M43" i="2"/>
  <c r="T43" i="2"/>
  <c r="M42" i="2"/>
  <c r="T42" i="2"/>
  <c r="M41" i="2"/>
  <c r="T41" i="2"/>
  <c r="M40" i="2"/>
  <c r="T40" i="2"/>
  <c r="M39" i="2"/>
  <c r="T39" i="2"/>
  <c r="M38" i="2"/>
  <c r="T38" i="2"/>
  <c r="M37" i="2"/>
  <c r="T37" i="2"/>
  <c r="M36" i="2"/>
  <c r="T36" i="2"/>
  <c r="M35" i="2"/>
  <c r="T35" i="2"/>
  <c r="M34" i="2"/>
  <c r="T34" i="2"/>
  <c r="M33" i="2"/>
  <c r="T33" i="2"/>
  <c r="M32" i="2"/>
  <c r="T32" i="2"/>
  <c r="M31" i="2"/>
  <c r="T31" i="2"/>
  <c r="M30" i="2"/>
  <c r="T30" i="2"/>
  <c r="M29" i="2"/>
  <c r="T29" i="2"/>
  <c r="M28" i="2"/>
  <c r="T28" i="2"/>
  <c r="M27" i="2"/>
  <c r="T27" i="2"/>
  <c r="M26" i="2"/>
  <c r="T26" i="2"/>
  <c r="M25" i="2"/>
  <c r="T25" i="2"/>
  <c r="M24" i="2"/>
  <c r="T24" i="2"/>
  <c r="M23" i="2"/>
  <c r="T23" i="2"/>
  <c r="M22" i="2"/>
  <c r="T22" i="2"/>
  <c r="M20" i="2"/>
  <c r="T20" i="2"/>
  <c r="M19" i="2"/>
  <c r="T19" i="2"/>
  <c r="M18" i="2"/>
  <c r="T18" i="2"/>
  <c r="M7" i="2"/>
  <c r="T7" i="2"/>
  <c r="M9" i="2"/>
  <c r="T9" i="2"/>
  <c r="M10" i="2"/>
  <c r="T10" i="2"/>
  <c r="M12" i="2"/>
  <c r="T12" i="2"/>
  <c r="M13" i="2"/>
  <c r="T13" i="2"/>
  <c r="M14" i="2"/>
  <c r="T14" i="2"/>
  <c r="M15" i="2"/>
  <c r="T15" i="2"/>
  <c r="G7" i="3"/>
  <c r="T5" i="2"/>
  <c r="G9" i="3"/>
  <c r="M17" i="2"/>
  <c r="M7" i="3"/>
  <c r="M9" i="3" s="1"/>
  <c r="M16" i="2"/>
  <c r="L7" i="3"/>
  <c r="M11" i="2"/>
  <c r="K7" i="3"/>
  <c r="K9" i="3" s="1"/>
  <c r="M8" i="2"/>
  <c r="J7" i="3"/>
  <c r="M6" i="2"/>
  <c r="H7" i="3"/>
  <c r="M21" i="2"/>
  <c r="N7" i="3"/>
  <c r="N9" i="3" s="1"/>
  <c r="M45" i="2"/>
  <c r="O7" i="3"/>
  <c r="M52" i="2"/>
  <c r="P7" i="3"/>
  <c r="P9" i="3" s="1"/>
  <c r="M64" i="2"/>
  <c r="Q7" i="3"/>
  <c r="Q9" i="3" s="1"/>
  <c r="M5" i="2"/>
  <c r="M2" i="2" s="1"/>
  <c r="K2" i="2"/>
  <c r="O9" i="3" l="1"/>
  <c r="AQ7" i="3"/>
  <c r="AQ9" i="3" s="1"/>
  <c r="H9" i="3"/>
  <c r="AN7" i="3"/>
  <c r="D7" i="3"/>
  <c r="D15" i="3" s="1"/>
  <c r="J9" i="3"/>
  <c r="AO7" i="3"/>
  <c r="AO9" i="3" s="1"/>
  <c r="L9" i="3"/>
  <c r="AP7" i="3"/>
  <c r="AP9" i="3" s="1"/>
  <c r="D9" i="3"/>
  <c r="G15" i="3" l="1"/>
  <c r="G16" i="3" s="1"/>
  <c r="G17" i="3" s="1"/>
  <c r="H15" i="3"/>
  <c r="H16" i="3" s="1"/>
  <c r="H17" i="3" s="1"/>
  <c r="I15" i="3"/>
  <c r="J15" i="3"/>
  <c r="J16" i="3" s="1"/>
  <c r="J17" i="3" s="1"/>
  <c r="K15" i="3"/>
  <c r="K16" i="3" s="1"/>
  <c r="K17" i="3" s="1"/>
  <c r="L15" i="3"/>
  <c r="M15" i="3"/>
  <c r="M16" i="3" s="1"/>
  <c r="M17" i="3" s="1"/>
  <c r="N15" i="3"/>
  <c r="N16" i="3" s="1"/>
  <c r="N17" i="3" s="1"/>
  <c r="O15" i="3"/>
  <c r="P15" i="3"/>
  <c r="P16" i="3" s="1"/>
  <c r="P17" i="3" s="1"/>
  <c r="Q15" i="3"/>
  <c r="Q16" i="3" s="1"/>
  <c r="Q17" i="3" s="1"/>
  <c r="R15" i="3"/>
  <c r="S15" i="3"/>
  <c r="S16" i="3" s="1"/>
  <c r="S17" i="3" s="1"/>
  <c r="T15" i="3"/>
  <c r="T16" i="3" s="1"/>
  <c r="T17" i="3" s="1"/>
  <c r="F15" i="3"/>
  <c r="AL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N9" i="3"/>
  <c r="AZ9" i="3" s="1"/>
  <c r="AZ7" i="3"/>
  <c r="AK19" i="3" l="1"/>
  <c r="AK16" i="3"/>
  <c r="AK20" i="3" s="1"/>
  <c r="AK17" i="3"/>
  <c r="AJ19" i="3"/>
  <c r="AJ16" i="3"/>
  <c r="AX15" i="3"/>
  <c r="AJ17" i="3"/>
  <c r="AI19" i="3"/>
  <c r="AI16" i="3"/>
  <c r="AI20" i="3" s="1"/>
  <c r="AI17" i="3"/>
  <c r="AH19" i="3"/>
  <c r="AH16" i="3"/>
  <c r="AH20" i="3" s="1"/>
  <c r="AH17" i="3"/>
  <c r="AG19" i="3"/>
  <c r="AG16" i="3"/>
  <c r="AW15" i="3"/>
  <c r="AG17" i="3"/>
  <c r="AF19" i="3"/>
  <c r="AF16" i="3"/>
  <c r="AF20" i="3" s="1"/>
  <c r="AL21" i="3" s="1"/>
  <c r="AF17" i="3"/>
  <c r="AE19" i="3"/>
  <c r="AE16" i="3"/>
  <c r="AE20" i="3" s="1"/>
  <c r="AK21" i="3" s="1"/>
  <c r="AE17" i="3"/>
  <c r="AD19" i="3"/>
  <c r="AD16" i="3"/>
  <c r="AV15" i="3"/>
  <c r="AD17" i="3"/>
  <c r="AC19" i="3"/>
  <c r="AC16" i="3"/>
  <c r="AC20" i="3" s="1"/>
  <c r="AI21" i="3" s="1"/>
  <c r="AC17" i="3"/>
  <c r="AB19" i="3"/>
  <c r="AB16" i="3"/>
  <c r="AB20" i="3" s="1"/>
  <c r="AH21" i="3" s="1"/>
  <c r="AB17" i="3"/>
  <c r="AA19" i="3"/>
  <c r="AA16" i="3"/>
  <c r="AU15" i="3"/>
  <c r="AA17" i="3"/>
  <c r="Z19" i="3"/>
  <c r="Z16" i="3"/>
  <c r="Z20" i="3" s="1"/>
  <c r="AF21" i="3" s="1"/>
  <c r="Z17" i="3"/>
  <c r="Y19" i="3"/>
  <c r="Y16" i="3"/>
  <c r="Y20" i="3" s="1"/>
  <c r="AE21" i="3" s="1"/>
  <c r="Y17" i="3"/>
  <c r="X19" i="3"/>
  <c r="X16" i="3"/>
  <c r="AT15" i="3"/>
  <c r="X17" i="3"/>
  <c r="W19" i="3"/>
  <c r="W16" i="3"/>
  <c r="W20" i="3" s="1"/>
  <c r="AC21" i="3" s="1"/>
  <c r="W17" i="3"/>
  <c r="V19" i="3"/>
  <c r="V16" i="3"/>
  <c r="V20" i="3" s="1"/>
  <c r="AB21" i="3" s="1"/>
  <c r="V17" i="3"/>
  <c r="AS15" i="3"/>
  <c r="U19" i="3"/>
  <c r="U16" i="3"/>
  <c r="U17" i="3"/>
  <c r="AL19" i="3"/>
  <c r="AL16" i="3"/>
  <c r="AL20" i="3" s="1"/>
  <c r="AL17" i="3"/>
  <c r="F16" i="3"/>
  <c r="AN15" i="3"/>
  <c r="F17" i="3"/>
  <c r="R16" i="3"/>
  <c r="AR16" i="3" s="1"/>
  <c r="AR15" i="3"/>
  <c r="R17" i="3"/>
  <c r="O16" i="3"/>
  <c r="AQ16" i="3" s="1"/>
  <c r="AQ15" i="3"/>
  <c r="O17" i="3"/>
  <c r="L16" i="3"/>
  <c r="AP16" i="3" s="1"/>
  <c r="AP15" i="3"/>
  <c r="L17" i="3"/>
  <c r="I16" i="3"/>
  <c r="AO16" i="3" s="1"/>
  <c r="AO15" i="3"/>
  <c r="I17" i="3"/>
  <c r="AO17" i="3" l="1"/>
  <c r="AP17" i="3"/>
  <c r="AQ17" i="3"/>
  <c r="AR17" i="3"/>
  <c r="AZ15" i="3"/>
  <c r="AS26" i="3" s="1"/>
  <c r="D16" i="3"/>
  <c r="AN16" i="3"/>
  <c r="U20" i="3"/>
  <c r="AS16" i="3"/>
  <c r="AS20" i="3" s="1"/>
  <c r="D19" i="3"/>
  <c r="AS19" i="3"/>
  <c r="AS17" i="3"/>
  <c r="AT19" i="3"/>
  <c r="X20" i="3"/>
  <c r="AD21" i="3" s="1"/>
  <c r="AT16" i="3"/>
  <c r="AU19" i="3"/>
  <c r="AA20" i="3"/>
  <c r="AG21" i="3" s="1"/>
  <c r="AU16" i="3"/>
  <c r="AV19" i="3"/>
  <c r="AD20" i="3"/>
  <c r="AJ21" i="3" s="1"/>
  <c r="AV16" i="3"/>
  <c r="AW19" i="3"/>
  <c r="AG20" i="3"/>
  <c r="AW16" i="3"/>
  <c r="AX19" i="3"/>
  <c r="AJ20" i="3"/>
  <c r="AX16" i="3"/>
  <c r="AR26" i="3" l="1"/>
  <c r="AQ26" i="3"/>
  <c r="AP26" i="3"/>
  <c r="AO26" i="3"/>
  <c r="AN26" i="3"/>
  <c r="AV26" i="3"/>
  <c r="AU26" i="3"/>
  <c r="AT26" i="3"/>
  <c r="AX20" i="3"/>
  <c r="AX17" i="3"/>
  <c r="AW20" i="3"/>
  <c r="AW17" i="3"/>
  <c r="AV20" i="3"/>
  <c r="AX21" i="3" s="1"/>
  <c r="AV17" i="3"/>
  <c r="AU20" i="3"/>
  <c r="AW21" i="3" s="1"/>
  <c r="AU17" i="3"/>
  <c r="AT20" i="3"/>
  <c r="AV21" i="3" s="1"/>
  <c r="AT17" i="3"/>
  <c r="AZ19" i="3"/>
  <c r="AZ20" i="3"/>
  <c r="AU21" i="3"/>
  <c r="AZ21" i="3" s="1"/>
  <c r="AA21" i="3"/>
  <c r="D21" i="3" s="1"/>
  <c r="D20" i="3"/>
  <c r="AZ16" i="3"/>
  <c r="AN17" i="3"/>
  <c r="AZ17" i="3" l="1"/>
  <c r="D17" i="3"/>
  <c r="BF139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Bridget Omolu</author>
  </authors>
  <commentList>
    <comment ref="D15" authorId="0" shapeId="0" xr:uid="{EDACAD14-B7AB-405E-8188-888CBE17546C}">
      <text>
        <r>
          <rPr>
            <b/>
            <sz val="9"/>
            <color indexed="81"/>
            <rFont val="Tahoma"/>
            <family val="2"/>
          </rPr>
          <t>As per Q4 2025 - assumed we not use 300k EUR of contingency and therefore deducted from the budget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Bridget Omolu</author>
    <author>tc={6BDE0698-D686-42FD-B7B5-279934B3F39D}</author>
    <author>tc={0BFAB570-AD50-4368-8FE7-19F11226639A}</author>
    <author>tc={3A5559D9-CBF8-4B5C-943D-7D53B71F7CE6}</author>
  </authors>
  <commentList>
    <comment ref="B58" authorId="0" shapeId="0" xr:uid="{40C23AEB-7614-4679-816E-F7E7F53DE0F3}">
      <text>
        <r>
          <rPr>
            <b/>
            <sz val="9"/>
            <color indexed="81"/>
            <rFont val="Tahoma"/>
            <family val="2"/>
          </rPr>
          <t>Template construction agreement 9,500 &amp; negotiations and amendment construction agreement, review and amendments performance bonds with the current contractor (20,000)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93" authorId="1" shapeId="0" xr:uid="{6BDE0698-D686-42FD-B7B5-279934B3F39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Notice in lieu of notice (Mancato Preavviso Ditta), excl. employer contributions. Was included in January 2026 payroll.</t>
      </text>
    </comment>
    <comment ref="Z93" authorId="2" shapeId="0" xr:uid="{0BFAB570-AD50-4368-8FE7-19F11226639A}">
      <text>
        <t>[Threaded comment]
Your version of Excel allows you to read this threaded comment; however, any edits to it will get removed if the file is opened in a newer version of Excel. Learn more: https://go.microsoft.com/fwlink/?linkid=870924
Comment:
    @Joyce Hilders Kosten updaten, met kosten tot nu toe gemaakt en wat er overblijft kosten die we nog verwachten en in welke maand</t>
      </text>
    </comment>
    <comment ref="B97" authorId="3" shapeId="0" xr:uid="{3A5559D9-CBF8-4B5C-943D-7D53B71F7CE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@Marc Laros Hi Marc, dit is het stuk voor jou om aan te vullen voor alle IT kosten die niet in het OS&amp;E budget staan</t>
      </text>
    </comment>
  </commentList>
</comments>
</file>

<file path=xl/sharedStrings.xml><?xml version="1.0" encoding="utf-8"?>
<sst xmlns="http://schemas.openxmlformats.org/spreadsheetml/2006/main" count="1241" uniqueCount="308">
  <si>
    <t>Total</t>
  </si>
  <si>
    <t>ID</t>
  </si>
  <si>
    <t>Invoice Date</t>
  </si>
  <si>
    <t>EOMONTH</t>
  </si>
  <si>
    <t>Invoice ID</t>
  </si>
  <si>
    <t>Contractor</t>
  </si>
  <si>
    <t>Description</t>
  </si>
  <si>
    <t>Contract Amt. 
(NET + CNPAIA) (€)</t>
  </si>
  <si>
    <t>NET (€)</t>
  </si>
  <si>
    <t>CNPAIA (€)</t>
  </si>
  <si>
    <t>Invoiced Amt. 
(NET + CNPAIA) (€)</t>
  </si>
  <si>
    <t>VAT Invoiced</t>
  </si>
  <si>
    <t>Gross Invoiced Amt. (€)</t>
  </si>
  <si>
    <t>Contract Approved?</t>
  </si>
  <si>
    <t>Invoice Received?</t>
  </si>
  <si>
    <t>Invoice Approved</t>
  </si>
  <si>
    <t>Approved  by (UHG/Michiel)</t>
  </si>
  <si>
    <t>Paid?</t>
  </si>
  <si>
    <t>2003066</t>
  </si>
  <si>
    <t>Stylt</t>
  </si>
  <si>
    <t>The Usual Hotel Corona Competition+ Travel costs</t>
  </si>
  <si>
    <t>2025/072</t>
  </si>
  <si>
    <t>Joi-Design</t>
  </si>
  <si>
    <t xml:space="preserve">Interior design planning services </t>
  </si>
  <si>
    <t>n.9/001</t>
  </si>
  <si>
    <t>Rizoma</t>
  </si>
  <si>
    <t>Renovation of Hotel Corona-Interior Contest</t>
  </si>
  <si>
    <t>VMI25_00270</t>
  </si>
  <si>
    <t>Artelia</t>
  </si>
  <si>
    <t>Project Management</t>
  </si>
  <si>
    <t>Construction Management</t>
  </si>
  <si>
    <t>Multidisciplinary Engineering Design</t>
  </si>
  <si>
    <t>VMI25_00444</t>
  </si>
  <si>
    <t>Artelia /Stylt</t>
  </si>
  <si>
    <t>Phase 1 - 4</t>
  </si>
  <si>
    <t>VMI25_00356</t>
  </si>
  <si>
    <t>BREEAM Consultancy</t>
  </si>
  <si>
    <t>146</t>
  </si>
  <si>
    <t>Gaia Group</t>
  </si>
  <si>
    <t>Rilievi Laser Scanner 3D, modellazione 3D Piano Terra e 2D</t>
  </si>
  <si>
    <t>3000083</t>
  </si>
  <si>
    <t>HC /Stylt</t>
  </si>
  <si>
    <t>Travel Costs</t>
  </si>
  <si>
    <t>8-2025-FE</t>
  </si>
  <si>
    <t>Cinquerosso Arte</t>
  </si>
  <si>
    <t>Artistic statuette sample</t>
  </si>
  <si>
    <t>-</t>
  </si>
  <si>
    <t>Municipality_VVF</t>
  </si>
  <si>
    <t>Comune di Firenze</t>
  </si>
  <si>
    <t>VMI25_00445</t>
  </si>
  <si>
    <t>075_2025</t>
  </si>
  <si>
    <t>Sese</t>
  </si>
  <si>
    <t>Mock up room n.01</t>
  </si>
  <si>
    <t>Extra Costs</t>
  </si>
  <si>
    <t>VMI25_00510</t>
  </si>
  <si>
    <t>VMI25_00509</t>
  </si>
  <si>
    <t>VMI25_00511</t>
  </si>
  <si>
    <t>ID Coordination</t>
  </si>
  <si>
    <t>VMI25_00516</t>
  </si>
  <si>
    <t>B250410</t>
  </si>
  <si>
    <t>Contract</t>
  </si>
  <si>
    <t>Municipality</t>
  </si>
  <si>
    <t>Municipality_Asl</t>
  </si>
  <si>
    <t>VMI25_00595</t>
  </si>
  <si>
    <t>FV-25-2267</t>
  </si>
  <si>
    <t>TPC</t>
  </si>
  <si>
    <t>Mock up room n.02</t>
  </si>
  <si>
    <t>104_2025</t>
  </si>
  <si>
    <t>VMI25_00688</t>
  </si>
  <si>
    <t>Direzione Lavori</t>
  </si>
  <si>
    <t>Health &amp; Safety</t>
  </si>
  <si>
    <t>XXXXXX</t>
  </si>
  <si>
    <t>FV-25-2608</t>
  </si>
  <si>
    <t>Municipality_SCIA</t>
  </si>
  <si>
    <t>VMI25_00752</t>
  </si>
  <si>
    <t>FV-26-0026</t>
  </si>
  <si>
    <t>VMI26_00002</t>
  </si>
  <si>
    <t>XXXX</t>
  </si>
  <si>
    <t>Comune di Firenze:Pagamenti sportello unico attività produttive</t>
  </si>
  <si>
    <t>Signage</t>
  </si>
  <si>
    <t>Art&amp;Props</t>
  </si>
  <si>
    <t>Protos</t>
  </si>
  <si>
    <t>Monitoring</t>
  </si>
  <si>
    <t>ENEL</t>
  </si>
  <si>
    <t>VMI26_00108</t>
  </si>
  <si>
    <t>VMI26_00105</t>
  </si>
  <si>
    <t>VMI26_00106</t>
  </si>
  <si>
    <t>CO.E.LIVE_GC</t>
  </si>
  <si>
    <t>GC Works</t>
  </si>
  <si>
    <t>TD01-19</t>
  </si>
  <si>
    <t>VMI26_00134</t>
  </si>
  <si>
    <t>TD01-30</t>
  </si>
  <si>
    <t>0534_00000011649</t>
  </si>
  <si>
    <t>Wentzo</t>
  </si>
  <si>
    <t>Hardware and instal. for network &amp; wifi</t>
  </si>
  <si>
    <t>VMI26_00214</t>
  </si>
  <si>
    <t>Phase 5</t>
  </si>
  <si>
    <t>VMI26_00222</t>
  </si>
  <si>
    <t>VMI26_00201</t>
  </si>
  <si>
    <t>Catalyst</t>
  </si>
  <si>
    <t>Flood risk ass.+Resources Inv.services</t>
  </si>
  <si>
    <t>To Date</t>
  </si>
  <si>
    <t>Period</t>
  </si>
  <si>
    <t>BoP</t>
  </si>
  <si>
    <t>EoP</t>
  </si>
  <si>
    <t>Paid</t>
  </si>
  <si>
    <t>VAT</t>
  </si>
  <si>
    <t>Gross Paid</t>
  </si>
  <si>
    <t>Artelia Forecast</t>
  </si>
  <si>
    <t>% Total</t>
  </si>
  <si>
    <t>% Total - Forecast Curve</t>
  </si>
  <si>
    <t>Remaining Spend</t>
  </si>
  <si>
    <t>VAT (Assumption)</t>
  </si>
  <si>
    <t>Remaining + VAT</t>
  </si>
  <si>
    <t>Model - Dev Costs</t>
  </si>
  <si>
    <t>Model - VAT Due</t>
  </si>
  <si>
    <t>Model - VAT Repaid</t>
  </si>
  <si>
    <t>Florence - Preopening Budget</t>
  </si>
  <si>
    <t>Actuals To Date</t>
  </si>
  <si>
    <t>Marketing</t>
  </si>
  <si>
    <t>Budget</t>
  </si>
  <si>
    <t>Bucket</t>
  </si>
  <si>
    <t>Owner</t>
  </si>
  <si>
    <t>Spent</t>
  </si>
  <si>
    <t>Remaining</t>
  </si>
  <si>
    <t>PR &amp; Communications</t>
  </si>
  <si>
    <t>Aniek</t>
  </si>
  <si>
    <t>Photo &amp; Video</t>
  </si>
  <si>
    <t>Photoshoot September - mock up rooms</t>
  </si>
  <si>
    <t>Videoshoot (included in Diginauts scope)</t>
  </si>
  <si>
    <t>Photography F&amp;B</t>
  </si>
  <si>
    <t>Social Media</t>
  </si>
  <si>
    <t>Online Marketing / Paid Media</t>
  </si>
  <si>
    <t>Room Ads</t>
  </si>
  <si>
    <t>F&amp;B Ads</t>
  </si>
  <si>
    <t>Branded Ads</t>
  </si>
  <si>
    <t>See this doc for split per channel</t>
  </si>
  <si>
    <t>Printed Materials &amp; Advertising</t>
  </si>
  <si>
    <t>Website &amp; Content</t>
  </si>
  <si>
    <t>Miscellaneous  (Illustrations, IBE tbc)</t>
  </si>
  <si>
    <t>Opening Party / Launch Event</t>
  </si>
  <si>
    <t>Gifting</t>
  </si>
  <si>
    <t>Total Marketing</t>
  </si>
  <si>
    <t>Legal</t>
  </si>
  <si>
    <t>Kim</t>
  </si>
  <si>
    <t>Total Legal</t>
  </si>
  <si>
    <t>HR</t>
  </si>
  <si>
    <t>Pre-Opening Training &amp; Compliance Budget</t>
  </si>
  <si>
    <t>Mandatory Compliance Training</t>
  </si>
  <si>
    <t>Joyce</t>
  </si>
  <si>
    <t>External Meeting Room &amp; Lunch (2 weeks)</t>
  </si>
  <si>
    <t>Travel Costs - Shadow Shifts Leadership Team Florence</t>
  </si>
  <si>
    <t>Recruitment Budget</t>
  </si>
  <si>
    <t xml:space="preserve">Social Media Recruitment - Tiktok &amp; Meta (Instagram) Ads Daily Budget of €100-€150 recommended for enough visibility. 2x to run different ads (for F&amp;B &amp; front office) </t>
  </si>
  <si>
    <t>LinkedIn &amp; Indeed Promotions to be used for specialist roles, e.g. chef, hotel manager, F&amp;B MOD</t>
  </si>
  <si>
    <t xml:space="preserve">Offline Visibility - e.g. campaign materials limited - more focus on online visibility to reach target audience </t>
  </si>
  <si>
    <t>In-house Recruitment Day</t>
  </si>
  <si>
    <t>Hotel Manager - Fabio</t>
  </si>
  <si>
    <t>Reorganisation former hotel team</t>
  </si>
  <si>
    <t>Total HR</t>
  </si>
  <si>
    <t>IT</t>
  </si>
  <si>
    <t>Marc</t>
  </si>
  <si>
    <t>IT - Others (Mosyle, Reviewpro, MS Defender)</t>
  </si>
  <si>
    <t>IT - Rooms (D3x, Apaleo, Zaplox, Siteminder, Flyr, Sweeply, Lighthouse, Hibox, Boookboost)</t>
  </si>
  <si>
    <t>IT - Sales &amp; Marketing (Cendyn, MIG and Semrush)</t>
  </si>
  <si>
    <t>Contract services</t>
  </si>
  <si>
    <t>TV</t>
  </si>
  <si>
    <t>Total IT systems</t>
  </si>
  <si>
    <t>OS&amp;E</t>
  </si>
  <si>
    <t>Michiel</t>
  </si>
  <si>
    <t>Total OS&amp;E</t>
  </si>
  <si>
    <t>Other Costs</t>
  </si>
  <si>
    <t>Working Capital - F&amp;B inventory (food, beverages, grab&amp;go)</t>
  </si>
  <si>
    <t>Michael</t>
  </si>
  <si>
    <t>Joachim</t>
  </si>
  <si>
    <t>F&amp;B Consultant - EME Consultancy</t>
  </si>
  <si>
    <t>OS&amp;E Consultant</t>
  </si>
  <si>
    <t>Total Other Costs</t>
  </si>
  <si>
    <t>UHG Fees</t>
  </si>
  <si>
    <t>DM Fee</t>
  </si>
  <si>
    <t>Michiel / Joachim</t>
  </si>
  <si>
    <t>Preopening Fee</t>
  </si>
  <si>
    <t>Total UHG Fees</t>
  </si>
  <si>
    <t>Other Costs - Not In Budget</t>
  </si>
  <si>
    <t>Deloitte</t>
  </si>
  <si>
    <t>[Other]</t>
  </si>
  <si>
    <t>Total Other Costs - Not in Budget</t>
  </si>
  <si>
    <t>Total Preopening Cost</t>
  </si>
  <si>
    <t>Invoice Tracker - Florence Preopening</t>
  </si>
  <si>
    <t>Yes</t>
  </si>
  <si>
    <t>Spent To Date</t>
  </si>
  <si>
    <t>No</t>
  </si>
  <si>
    <t>Cost Tracker By Bucket</t>
  </si>
  <si>
    <t>Budget (€)</t>
  </si>
  <si>
    <t>Spent (€)</t>
  </si>
  <si>
    <t>Remaining (€)</t>
  </si>
  <si>
    <t>Amount (€)</t>
  </si>
  <si>
    <t>VAT (€)</t>
  </si>
  <si>
    <t>Gross Amount (€)</t>
  </si>
  <si>
    <t>Total Invoices</t>
  </si>
  <si>
    <t>Bucket (Select Dropdown)</t>
  </si>
  <si>
    <t>Summary Bucket</t>
  </si>
  <si>
    <t>Paid Date</t>
  </si>
  <si>
    <t>Is this in budget for the scope contracted and the work completed?</t>
  </si>
  <si>
    <t>Approved - Michiel</t>
  </si>
  <si>
    <t>TBC</t>
  </si>
  <si>
    <t>UHG</t>
  </si>
  <si>
    <t>[ADD]</t>
  </si>
  <si>
    <t>Studio Pirola</t>
  </si>
  <si>
    <t>Jones Day</t>
  </si>
  <si>
    <t>[Update]</t>
  </si>
  <si>
    <t>F&amp;B Consultant</t>
  </si>
  <si>
    <t>EME Hospitality</t>
  </si>
  <si>
    <t>APLBC</t>
  </si>
  <si>
    <t>Check if we have actually paid this</t>
  </si>
  <si>
    <t>KLM</t>
  </si>
  <si>
    <t>Vueling</t>
  </si>
  <si>
    <t>AF</t>
  </si>
  <si>
    <t>NS international</t>
  </si>
  <si>
    <t>NS</t>
  </si>
  <si>
    <t>Preopening Budget</t>
  </si>
  <si>
    <t>UW</t>
  </si>
  <si>
    <t>Revised</t>
  </si>
  <si>
    <t>Delta</t>
  </si>
  <si>
    <t>Branding, Sales &amp; Marketng</t>
  </si>
  <si>
    <t>Staff Reorg</t>
  </si>
  <si>
    <t>Pre-opening recruiting, staffing and training</t>
  </si>
  <si>
    <t>Working Capital</t>
  </si>
  <si>
    <t>Deloitte Cost</t>
  </si>
  <si>
    <t>Total Pre-Opening + Branding</t>
  </si>
  <si>
    <t>DM Fee + POSA Fee</t>
  </si>
  <si>
    <t>incl DM Fee</t>
  </si>
  <si>
    <t>Seed / reporting model budget</t>
  </si>
  <si>
    <t>Data Validation Input</t>
  </si>
  <si>
    <t>Photoshoot September - Mock Up Rooms</t>
  </si>
  <si>
    <t>Photoshoot Full February</t>
  </si>
  <si>
    <t>Videoshoot Lifestyle February</t>
  </si>
  <si>
    <t>Photoshoot Lifestyle &amp; City February</t>
  </si>
  <si>
    <t>Visual Identity Development  (Logo, Fonts, Guidelines)</t>
  </si>
  <si>
    <t>Influencer Fees</t>
  </si>
  <si>
    <t>Boosting Organic Content</t>
  </si>
  <si>
    <t>Diginauts Retainer (Sep 2026 till April 2027)</t>
  </si>
  <si>
    <t>Template FF&amp;E contracts</t>
  </si>
  <si>
    <t>F&amp;B - Il Solito Branding</t>
  </si>
  <si>
    <t>Production Campaign Materials (OOH, Guerilla)</t>
  </si>
  <si>
    <t>Print Materials (excl. build &amp; ops/F&amp;B &amp; recruitment materials)</t>
  </si>
  <si>
    <t>Partner Fees</t>
  </si>
  <si>
    <t>F&amp;B Events</t>
  </si>
  <si>
    <t>Equipment Events</t>
  </si>
  <si>
    <t>Photography Events</t>
  </si>
  <si>
    <t>PR (with Local Agency) year retainer</t>
  </si>
  <si>
    <t>Communication Plan (with Local Agency)</t>
  </si>
  <si>
    <t>Staff Costs Pre-Opening</t>
  </si>
  <si>
    <t>Sales Manager External - Preopening Push</t>
  </si>
  <si>
    <t>Sales Representation APLBC</t>
  </si>
  <si>
    <t>Contingency/Italian law queries during the construction phase Jan-Dec 2026</t>
  </si>
  <si>
    <t>`</t>
  </si>
  <si>
    <t>Complete OS&amp;E and operations supply list (see separate list)</t>
  </si>
  <si>
    <t>IT Systems</t>
  </si>
  <si>
    <t>Contracts Review and Advice</t>
  </si>
  <si>
    <t>Construction Agreement</t>
  </si>
  <si>
    <t>Legal Support Contracts during 2026</t>
  </si>
  <si>
    <t>Corporate Work 2026 (if necessary)</t>
  </si>
  <si>
    <t>Corporate Work to Date</t>
  </si>
  <si>
    <t>Second opinion related to labour and employment pre closing Hotel Corona</t>
  </si>
  <si>
    <t>TFR Costs Reorganisation</t>
  </si>
  <si>
    <t>Settlement Costs Staff Reorganisation</t>
  </si>
  <si>
    <t>Legal Costs - Studio Pirola Reorganisation</t>
  </si>
  <si>
    <t>IT - Administrative &amp; General (Exact, Keeper, Oneteam, Office365)</t>
  </si>
  <si>
    <t>IT - Food &amp; Beverage</t>
  </si>
  <si>
    <t>IT - Human Resources (Personio, Shiftbase)</t>
  </si>
  <si>
    <t>Internet &amp; Telecom</t>
  </si>
  <si>
    <t>Software Licences (phished, io)</t>
  </si>
  <si>
    <t>Working Capital - Preopening Deep Clean (guestrooms &amp; public areas)</t>
  </si>
  <si>
    <t>Travel Costs UHG / Support Team - Flights &amp; Hotel Stays</t>
  </si>
  <si>
    <t>Working Capital - Room inventory (toilet paper, coffee, tea etc)</t>
  </si>
  <si>
    <t>Staff Costs Preopening (23 FTE) - excl. Fabio &amp; Andi</t>
  </si>
  <si>
    <t>Preopening Cost Summary</t>
  </si>
  <si>
    <t>Joachim/Michiel</t>
  </si>
  <si>
    <t>Preopening Costs</t>
  </si>
  <si>
    <t>Total Cost Summary</t>
  </si>
  <si>
    <t>Total Cost</t>
  </si>
  <si>
    <t>Preopening Budget - Overview</t>
  </si>
  <si>
    <t>HR - Preopening Recruiting, Staffing &amp; Training</t>
  </si>
  <si>
    <t>HR - Staff Reorganisation</t>
  </si>
  <si>
    <t>Travel Costs (UHG)</t>
  </si>
  <si>
    <t>Department</t>
  </si>
  <si>
    <t>F&amp;B</t>
  </si>
  <si>
    <t>Development</t>
  </si>
  <si>
    <t>Other</t>
  </si>
  <si>
    <t>UW Budget</t>
  </si>
  <si>
    <t>Revised Budget</t>
  </si>
  <si>
    <t>Total Forecast Spend</t>
  </si>
  <si>
    <t>Original UHG Budget</t>
  </si>
  <si>
    <t>Over / (Under) Original UHG Budget</t>
  </si>
  <si>
    <t>HR Legal Costs - Employee Handbook</t>
  </si>
  <si>
    <t>Sales</t>
  </si>
  <si>
    <t>Legal - Contracts Review &amp; Advice</t>
  </si>
  <si>
    <t>Legal - Corporate Work to Date</t>
  </si>
  <si>
    <t>Assistance in the FF&amp;E construction agreement with Factory and Sintesi</t>
  </si>
  <si>
    <t>Legal Second opinion related to labour and employment pre closing Hotel Corona</t>
  </si>
  <si>
    <t>Check</t>
  </si>
  <si>
    <t>FLORENCE</t>
  </si>
  <si>
    <t>Total Preopening Costs</t>
  </si>
  <si>
    <t>Total Preopening Costs + Fees</t>
  </si>
  <si>
    <t>Revised budget following the detailed review with UHG and Crossroads</t>
  </si>
  <si>
    <t>Other Project Costs</t>
  </si>
  <si>
    <t>Ongoing Salary - Reception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</si>
</sst>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_ ;_ * \-#,##0_ ;_ * &quot;-&quot;_ ;_ @_ "/>
    <numFmt numFmtId="165" formatCode="d\-mmm\-yy;;\-"/>
    <numFmt numFmtId="166" formatCode="#,##0;\(#,##0\);\-"/>
    <numFmt numFmtId="167" formatCode="#,##0.00;\(#,##0.00\);\-"/>
    <numFmt numFmtId="168" formatCode="&quot;Y&quot;;&quot;&quot;;&quot;N&quot;"/>
    <numFmt numFmtId="169" formatCode="0.0%;\(0.0%\);\-"/>
    <numFmt numFmtId="170" formatCode="#,##0;\(#,##0\)"/>
  </numFmts>
  <fonts count="2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11"/>
      <color rgb="FF0000FF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8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FF"/>
      <name val="Arial"/>
      <family val="2"/>
    </font>
    <font>
      <sz val="12"/>
      <name val="Calibri"/>
      <family val="2"/>
    </font>
    <font>
      <b/>
      <u val="singleAccounting"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D7176"/>
        <bgColor indexed="64"/>
      </patternFill>
    </fill>
    <fill>
      <patternFill patternType="solid">
        <fgColor rgb="FFEBE9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F3E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BE2D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19" fillId="0" borderId="0"/>
  </cellStyleXfs>
  <cellXfs count="179">
    <xf numFmtId="0" fontId="0" fillId="0" borderId="0" xfId="0"/>
    <xf numFmtId="166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165" fontId="4" fillId="0" borderId="0" xfId="0" applyNumberFormat="1" applyFont="1" applyAlignment="1">
      <alignment horizontal="right" indent="1"/>
    </xf>
    <xf numFmtId="165" fontId="4" fillId="0" borderId="0" xfId="0" applyNumberFormat="1" applyFont="1" applyAlignment="1">
      <alignment horizontal="right" vertical="center" indent="1"/>
    </xf>
    <xf numFmtId="166" fontId="4" fillId="0" borderId="0" xfId="0" applyNumberFormat="1" applyFont="1"/>
    <xf numFmtId="0" fontId="1" fillId="2" borderId="1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8" fontId="5" fillId="0" borderId="0" xfId="0" applyNumberFormat="1" applyFont="1" applyAlignment="1">
      <alignment horizontal="center"/>
    </xf>
    <xf numFmtId="167" fontId="4" fillId="0" borderId="0" xfId="0" applyNumberFormat="1" applyFont="1"/>
    <xf numFmtId="166" fontId="2" fillId="0" borderId="0" xfId="0" applyNumberFormat="1" applyFont="1"/>
    <xf numFmtId="166" fontId="2" fillId="4" borderId="0" xfId="0" applyNumberFormat="1" applyFont="1" applyFill="1"/>
    <xf numFmtId="165" fontId="5" fillId="0" borderId="0" xfId="0" applyNumberFormat="1" applyFont="1" applyAlignment="1">
      <alignment horizontal="right" indent="1"/>
    </xf>
    <xf numFmtId="166" fontId="0" fillId="0" borderId="3" xfId="0" applyNumberFormat="1" applyBorder="1"/>
    <xf numFmtId="0" fontId="0" fillId="0" borderId="3" xfId="0" applyBorder="1"/>
    <xf numFmtId="0" fontId="2" fillId="0" borderId="0" xfId="0" applyFont="1"/>
    <xf numFmtId="0" fontId="0" fillId="0" borderId="0" xfId="0" applyAlignment="1">
      <alignment horizontal="left" indent="1"/>
    </xf>
    <xf numFmtId="0" fontId="0" fillId="0" borderId="3" xfId="0" applyBorder="1" applyAlignment="1">
      <alignment horizontal="left" indent="1"/>
    </xf>
    <xf numFmtId="166" fontId="4" fillId="5" borderId="0" xfId="0" applyNumberFormat="1" applyFont="1" applyFill="1"/>
    <xf numFmtId="166" fontId="0" fillId="5" borderId="0" xfId="0" applyNumberFormat="1" applyFill="1"/>
    <xf numFmtId="166" fontId="0" fillId="5" borderId="3" xfId="0" applyNumberFormat="1" applyFill="1" applyBorder="1"/>
    <xf numFmtId="3" fontId="2" fillId="0" borderId="0" xfId="0" applyNumberFormat="1" applyFont="1"/>
    <xf numFmtId="0" fontId="6" fillId="0" borderId="0" xfId="0" applyFont="1"/>
    <xf numFmtId="169" fontId="6" fillId="0" borderId="0" xfId="0" applyNumberFormat="1" applyFont="1"/>
    <xf numFmtId="169" fontId="6" fillId="0" borderId="3" xfId="0" applyNumberFormat="1" applyFont="1" applyBorder="1"/>
    <xf numFmtId="0" fontId="2" fillId="0" borderId="3" xfId="0" applyFont="1" applyBorder="1"/>
    <xf numFmtId="166" fontId="2" fillId="4" borderId="2" xfId="0" applyNumberFormat="1" applyFont="1" applyFill="1" applyBorder="1"/>
    <xf numFmtId="15" fontId="2" fillId="4" borderId="0" xfId="0" applyNumberFormat="1" applyFont="1" applyFill="1"/>
    <xf numFmtId="15" fontId="2" fillId="4" borderId="3" xfId="0" applyNumberFormat="1" applyFont="1" applyFill="1" applyBorder="1"/>
    <xf numFmtId="0" fontId="0" fillId="4" borderId="2" xfId="0" applyFill="1" applyBorder="1"/>
    <xf numFmtId="0" fontId="0" fillId="4" borderId="0" xfId="0" applyFill="1"/>
    <xf numFmtId="0" fontId="2" fillId="4" borderId="3" xfId="0" applyFont="1" applyFill="1" applyBorder="1" applyAlignment="1">
      <alignment horizontal="center"/>
    </xf>
    <xf numFmtId="0" fontId="2" fillId="4" borderId="2" xfId="0" applyFont="1" applyFill="1" applyBorder="1"/>
    <xf numFmtId="0" fontId="2" fillId="4" borderId="0" xfId="0" applyFont="1" applyFill="1"/>
    <xf numFmtId="0" fontId="2" fillId="4" borderId="3" xfId="0" applyFont="1" applyFill="1" applyBorder="1"/>
    <xf numFmtId="166" fontId="2" fillId="6" borderId="2" xfId="0" applyNumberFormat="1" applyFont="1" applyFill="1" applyBorder="1"/>
    <xf numFmtId="15" fontId="2" fillId="6" borderId="0" xfId="0" applyNumberFormat="1" applyFont="1" applyFill="1"/>
    <xf numFmtId="15" fontId="2" fillId="6" borderId="3" xfId="0" applyNumberFormat="1" applyFont="1" applyFill="1" applyBorder="1"/>
    <xf numFmtId="169" fontId="0" fillId="5" borderId="0" xfId="0" applyNumberFormat="1" applyFill="1"/>
    <xf numFmtId="169" fontId="0" fillId="0" borderId="0" xfId="0" applyNumberFormat="1"/>
    <xf numFmtId="169" fontId="0" fillId="5" borderId="3" xfId="0" applyNumberFormat="1" applyFill="1" applyBorder="1"/>
    <xf numFmtId="169" fontId="0" fillId="0" borderId="3" xfId="0" applyNumberFormat="1" applyBorder="1"/>
    <xf numFmtId="3" fontId="0" fillId="3" borderId="0" xfId="0" applyNumberFormat="1" applyFill="1"/>
    <xf numFmtId="0" fontId="4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166" fontId="2" fillId="4" borderId="1" xfId="0" applyNumberFormat="1" applyFont="1" applyFill="1" applyBorder="1"/>
    <xf numFmtId="15" fontId="8" fillId="0" borderId="0" xfId="0" applyNumberFormat="1" applyFont="1"/>
    <xf numFmtId="0" fontId="3" fillId="2" borderId="1" xfId="0" applyFont="1" applyFill="1" applyBorder="1"/>
    <xf numFmtId="0" fontId="0" fillId="0" borderId="3" xfId="0" applyBorder="1" applyAlignment="1">
      <alignment horizontal="right"/>
    </xf>
    <xf numFmtId="166" fontId="4" fillId="0" borderId="3" xfId="0" applyNumberFormat="1" applyFont="1" applyBorder="1"/>
    <xf numFmtId="166" fontId="4" fillId="5" borderId="3" xfId="0" applyNumberFormat="1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166" fontId="5" fillId="0" borderId="0" xfId="0" applyNumberFormat="1" applyFont="1"/>
    <xf numFmtId="166" fontId="5" fillId="0" borderId="3" xfId="0" applyNumberFormat="1" applyFont="1" applyBorder="1"/>
    <xf numFmtId="0" fontId="4" fillId="6" borderId="1" xfId="0" applyFont="1" applyFill="1" applyBorder="1"/>
    <xf numFmtId="0" fontId="2" fillId="0" borderId="0" xfId="0" applyFont="1" applyAlignment="1">
      <alignment horizontal="left"/>
    </xf>
    <xf numFmtId="0" fontId="0" fillId="0" borderId="2" xfId="0" applyBorder="1" applyAlignment="1">
      <alignment horizontal="left" indent="1"/>
    </xf>
    <xf numFmtId="0" fontId="0" fillId="0" borderId="2" xfId="0" applyBorder="1" applyAlignment="1">
      <alignment horizontal="right"/>
    </xf>
    <xf numFmtId="0" fontId="4" fillId="0" borderId="0" xfId="0" applyFont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left" indent="1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166" fontId="5" fillId="0" borderId="0" xfId="0" applyNumberFormat="1" applyFon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166" fontId="5" fillId="0" borderId="3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66" fontId="0" fillId="0" borderId="3" xfId="0" applyNumberFormat="1" applyBorder="1" applyAlignment="1">
      <alignment vertical="center"/>
    </xf>
    <xf numFmtId="0" fontId="2" fillId="0" borderId="0" xfId="0" applyFont="1" applyAlignment="1">
      <alignment vertical="center"/>
    </xf>
    <xf numFmtId="0" fontId="2" fillId="4" borderId="1" xfId="0" applyFont="1" applyFill="1" applyBorder="1" applyAlignment="1">
      <alignment vertical="center"/>
    </xf>
    <xf numFmtId="166" fontId="2" fillId="4" borderId="1" xfId="0" applyNumberFormat="1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15" fontId="4" fillId="0" borderId="5" xfId="0" applyNumberFormat="1" applyFont="1" applyBorder="1" applyAlignment="1">
      <alignment vertical="center"/>
    </xf>
    <xf numFmtId="166" fontId="5" fillId="0" borderId="5" xfId="0" applyNumberFormat="1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15" fontId="4" fillId="0" borderId="4" xfId="0" applyNumberFormat="1" applyFont="1" applyBorder="1" applyAlignment="1">
      <alignment horizontal="right" vertical="center"/>
    </xf>
    <xf numFmtId="166" fontId="5" fillId="0" borderId="4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166" fontId="2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horizontal="right"/>
    </xf>
    <xf numFmtId="0" fontId="2" fillId="9" borderId="1" xfId="0" applyFont="1" applyFill="1" applyBorder="1"/>
    <xf numFmtId="15" fontId="10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166" fontId="10" fillId="0" borderId="3" xfId="0" applyNumberFormat="1" applyFont="1" applyBorder="1" applyAlignment="1">
      <alignment vertical="center"/>
    </xf>
    <xf numFmtId="0" fontId="0" fillId="0" borderId="0" xfId="0" applyAlignment="1">
      <alignment horizontal="right" vertical="center" wrapText="1"/>
    </xf>
    <xf numFmtId="166" fontId="5" fillId="0" borderId="5" xfId="0" applyNumberFormat="1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/>
    <xf numFmtId="166" fontId="2" fillId="3" borderId="1" xfId="0" applyNumberFormat="1" applyFont="1" applyFill="1" applyBorder="1" applyAlignment="1">
      <alignment horizontal="right"/>
    </xf>
    <xf numFmtId="0" fontId="13" fillId="0" borderId="0" xfId="1" applyFont="1" applyAlignment="1">
      <alignment horizontal="left" indent="1"/>
    </xf>
    <xf numFmtId="0" fontId="11" fillId="0" borderId="0" xfId="0" applyFont="1" applyAlignment="1">
      <alignment horizontal="left" indent="1"/>
    </xf>
    <xf numFmtId="166" fontId="4" fillId="0" borderId="4" xfId="0" applyNumberFormat="1" applyFont="1" applyBorder="1" applyAlignment="1">
      <alignment vertical="center"/>
    </xf>
    <xf numFmtId="166" fontId="5" fillId="5" borderId="0" xfId="0" applyNumberFormat="1" applyFont="1" applyFill="1"/>
    <xf numFmtId="166" fontId="5" fillId="5" borderId="3" xfId="0" applyNumberFormat="1" applyFont="1" applyFill="1" applyBorder="1"/>
    <xf numFmtId="166" fontId="5" fillId="5" borderId="2" xfId="0" applyNumberFormat="1" applyFont="1" applyFill="1" applyBorder="1"/>
    <xf numFmtId="0" fontId="6" fillId="0" borderId="0" xfId="0" applyFont="1" applyAlignment="1">
      <alignment vertical="center"/>
    </xf>
    <xf numFmtId="0" fontId="14" fillId="0" borderId="3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4" fillId="0" borderId="3" xfId="0" applyFont="1" applyBorder="1" applyAlignment="1">
      <alignment horizontal="right" vertical="center"/>
    </xf>
    <xf numFmtId="0" fontId="16" fillId="0" borderId="3" xfId="0" applyFont="1" applyBorder="1" applyAlignment="1">
      <alignment horizontal="right" vertical="center"/>
    </xf>
    <xf numFmtId="166" fontId="15" fillId="0" borderId="6" xfId="0" applyNumberFormat="1" applyFont="1" applyBorder="1" applyAlignment="1">
      <alignment vertical="center"/>
    </xf>
    <xf numFmtId="166" fontId="15" fillId="0" borderId="6" xfId="0" applyNumberFormat="1" applyFont="1" applyBorder="1" applyAlignment="1">
      <alignment horizontal="right" vertical="center"/>
    </xf>
    <xf numFmtId="166" fontId="17" fillId="0" borderId="6" xfId="0" applyNumberFormat="1" applyFont="1" applyBorder="1" applyAlignment="1">
      <alignment horizontal="right" vertical="center"/>
    </xf>
    <xf numFmtId="166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right" vertical="center"/>
    </xf>
    <xf numFmtId="166" fontId="14" fillId="7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66" fontId="14" fillId="7" borderId="1" xfId="0" applyNumberFormat="1" applyFont="1" applyFill="1" applyBorder="1" applyAlignment="1">
      <alignment horizontal="right" vertical="center"/>
    </xf>
    <xf numFmtId="166" fontId="16" fillId="7" borderId="1" xfId="0" applyNumberFormat="1" applyFont="1" applyFill="1" applyBorder="1" applyAlignment="1">
      <alignment horizontal="right" vertical="center"/>
    </xf>
    <xf numFmtId="0" fontId="15" fillId="0" borderId="0" xfId="0" applyFont="1"/>
    <xf numFmtId="0" fontId="17" fillId="0" borderId="0" xfId="0" applyFont="1"/>
    <xf numFmtId="166" fontId="15" fillId="0" borderId="0" xfId="0" applyNumberFormat="1" applyFont="1"/>
    <xf numFmtId="166" fontId="18" fillId="0" borderId="0" xfId="0" applyNumberFormat="1" applyFont="1"/>
    <xf numFmtId="166" fontId="17" fillId="0" borderId="0" xfId="0" applyNumberFormat="1" applyFont="1"/>
    <xf numFmtId="0" fontId="4" fillId="10" borderId="5" xfId="0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left" vertical="center"/>
    </xf>
    <xf numFmtId="166" fontId="5" fillId="0" borderId="0" xfId="0" applyNumberFormat="1" applyFont="1" applyAlignment="1">
      <alignment horizontal="left" indent="1"/>
    </xf>
    <xf numFmtId="0" fontId="0" fillId="2" borderId="1" xfId="0" applyFill="1" applyBorder="1"/>
    <xf numFmtId="0" fontId="0" fillId="6" borderId="1" xfId="0" applyFill="1" applyBorder="1"/>
    <xf numFmtId="0" fontId="0" fillId="8" borderId="1" xfId="0" applyFill="1" applyBorder="1"/>
    <xf numFmtId="166" fontId="0" fillId="0" borderId="2" xfId="0" applyNumberFormat="1" applyBorder="1"/>
    <xf numFmtId="170" fontId="5" fillId="0" borderId="0" xfId="2" applyNumberFormat="1" applyFont="1" applyAlignment="1">
      <alignment horizontal="left" indent="1"/>
    </xf>
    <xf numFmtId="170" fontId="5" fillId="0" borderId="3" xfId="2" applyNumberFormat="1" applyFont="1" applyBorder="1" applyAlignment="1">
      <alignment horizontal="left" indent="1"/>
    </xf>
    <xf numFmtId="0" fontId="5" fillId="0" borderId="5" xfId="0" applyFont="1" applyBorder="1" applyAlignment="1">
      <alignment horizontal="left" vertical="center"/>
    </xf>
    <xf numFmtId="166" fontId="4" fillId="0" borderId="5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3" fontId="4" fillId="0" borderId="4" xfId="0" applyNumberFormat="1" applyFont="1" applyBorder="1" applyAlignment="1">
      <alignment vertical="center"/>
    </xf>
    <xf numFmtId="15" fontId="2" fillId="9" borderId="0" xfId="0" applyNumberFormat="1" applyFont="1" applyFill="1"/>
    <xf numFmtId="15" fontId="2" fillId="9" borderId="3" xfId="0" applyNumberFormat="1" applyFont="1" applyFill="1" applyBorder="1"/>
    <xf numFmtId="166" fontId="15" fillId="0" borderId="3" xfId="0" applyNumberFormat="1" applyFont="1" applyBorder="1" applyAlignment="1">
      <alignment vertical="center"/>
    </xf>
    <xf numFmtId="166" fontId="15" fillId="0" borderId="3" xfId="0" applyNumberFormat="1" applyFont="1" applyBorder="1"/>
    <xf numFmtId="0" fontId="20" fillId="2" borderId="0" xfId="0" applyFont="1" applyFill="1" applyAlignment="1">
      <alignment horizontal="centerContinuous"/>
    </xf>
    <xf numFmtId="0" fontId="23" fillId="2" borderId="0" xfId="0" applyFont="1" applyFill="1" applyAlignment="1">
      <alignment horizontal="center" wrapText="1"/>
    </xf>
    <xf numFmtId="166" fontId="16" fillId="0" borderId="1" xfId="0" applyNumberFormat="1" applyFont="1" applyBorder="1"/>
    <xf numFmtId="166" fontId="14" fillId="4" borderId="1" xfId="0" applyNumberFormat="1" applyFont="1" applyFill="1" applyBorder="1"/>
    <xf numFmtId="166" fontId="14" fillId="4" borderId="0" xfId="0" applyNumberFormat="1" applyFont="1" applyFill="1"/>
    <xf numFmtId="166" fontId="14" fillId="9" borderId="0" xfId="0" applyNumberFormat="1" applyFont="1" applyFill="1"/>
    <xf numFmtId="166" fontId="2" fillId="9" borderId="1" xfId="0" applyNumberFormat="1" applyFont="1" applyFill="1" applyBorder="1"/>
    <xf numFmtId="0" fontId="14" fillId="4" borderId="1" xfId="0" applyFont="1" applyFill="1" applyBorder="1"/>
    <xf numFmtId="0" fontId="15" fillId="4" borderId="1" xfId="0" applyFont="1" applyFill="1" applyBorder="1"/>
    <xf numFmtId="166" fontId="16" fillId="4" borderId="1" xfId="0" applyNumberFormat="1" applyFont="1" applyFill="1" applyBorder="1"/>
    <xf numFmtId="0" fontId="14" fillId="0" borderId="0" xfId="0" applyFont="1"/>
    <xf numFmtId="166" fontId="14" fillId="0" borderId="0" xfId="0" applyNumberFormat="1" applyFont="1"/>
    <xf numFmtId="0" fontId="14" fillId="7" borderId="1" xfId="0" applyFont="1" applyFill="1" applyBorder="1"/>
    <xf numFmtId="0" fontId="15" fillId="7" borderId="1" xfId="0" applyFont="1" applyFill="1" applyBorder="1"/>
    <xf numFmtId="166" fontId="14" fillId="7" borderId="1" xfId="0" applyNumberFormat="1" applyFont="1" applyFill="1" applyBorder="1"/>
    <xf numFmtId="0" fontId="22" fillId="2" borderId="2" xfId="0" applyFont="1" applyFill="1" applyBorder="1"/>
    <xf numFmtId="0" fontId="20" fillId="2" borderId="2" xfId="0" applyFont="1" applyFill="1" applyBorder="1" applyAlignment="1">
      <alignment horizontal="centerContinuous"/>
    </xf>
    <xf numFmtId="0" fontId="22" fillId="2" borderId="3" xfId="0" applyFont="1" applyFill="1" applyBorder="1"/>
    <xf numFmtId="0" fontId="21" fillId="2" borderId="3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 wrapText="1"/>
    </xf>
    <xf numFmtId="0" fontId="25" fillId="0" borderId="0" xfId="0" applyFont="1"/>
    <xf numFmtId="0" fontId="14" fillId="4" borderId="0" xfId="0" applyFont="1" applyFill="1"/>
    <xf numFmtId="0" fontId="15" fillId="4" borderId="0" xfId="0" applyFont="1" applyFill="1"/>
    <xf numFmtId="166" fontId="16" fillId="4" borderId="0" xfId="0" applyNumberFormat="1" applyFont="1" applyFill="1"/>
    <xf numFmtId="167" fontId="9" fillId="0" borderId="3" xfId="0" applyNumberFormat="1" applyFont="1" applyBorder="1"/>
  </cellXfs>
  <cellStyles count="3">
    <cellStyle name="Hyperlink" xfId="1" builtinId="8"/>
    <cellStyle name="Normal" xfId="0" builtinId="0"/>
    <cellStyle name="Normal 2" xfId="2" xr:uid="{C189EA75-437C-5345-9E8D-CD2B234FB5F5}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AF3E9"/>
      <color rgb="FFEBE9D9"/>
      <color rgb="FF5D7176"/>
      <color rgb="FF0000FF"/>
      <color rgb="FFFBE2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20237375-2913-421D-AEC5-8E21285044EB}">
    <Anchor>
      <Comment id="{3A5559D9-CBF8-4B5C-943D-7D53B71F7CE6}"/>
    </Anchor>
    <History>
      <Event time="2026-07-03T12:20:09.94" id="{0ABC154A-24D8-42E4-B624-D07947867087}">
        <Attribution userId="S::joachim.delooij@theusual.com::009ceeaa-fed7-4ec6-beaf-ade5149ba2ae" userName="Joachim De Looij" userProvider="AD"/>
        <Anchor>
          <Comment id="{3A5559D9-CBF8-4B5C-943D-7D53B71F7CE6}"/>
        </Anchor>
        <Create/>
      </Event>
      <Event time="2026-07-03T12:20:09.94" id="{970C3B6D-2B0D-4D95-B94C-3AFEF94A82A7}">
        <Attribution userId="S::joachim.delooij@theusual.com::009ceeaa-fed7-4ec6-beaf-ade5149ba2ae" userName="Joachim De Looij" userProvider="AD"/>
        <Anchor>
          <Comment id="{3A5559D9-CBF8-4B5C-943D-7D53B71F7CE6}"/>
        </Anchor>
        <Assign userId="S::marc.laros@theusual.com::d8b90b8e-7ef6-4d23-ad0b-2d83424f60a7" userName="Marc Laros" userProvider="AD"/>
      </Event>
      <Event time="2026-07-03T12:20:09.94" id="{36342E14-C549-474A-9A59-AA515E1C63FD}">
        <Attribution userId="S::joachim.delooij@theusual.com::009ceeaa-fed7-4ec6-beaf-ade5149ba2ae" userName="Joachim De Looij" userProvider="AD"/>
        <Anchor>
          <Comment id="{3A5559D9-CBF8-4B5C-943D-7D53B71F7CE6}"/>
        </Anchor>
        <SetTitle title="@Marc Laros Hi Marc, dit is het stuk voor jou om aan te vullen voor alle IT kosten die niet in het OS&amp;E budget staan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bomolu/AppData/Local/Microsoft/Windows/INetCache/Content.Outlook/9UXC2MIR/IT23167%20-%20The%20Usual%20_%20J-03-02%20-%20Cost%20Control_2026.05.15%20(002).xlsx" TargetMode="External"/><Relationship Id="rId2" Type="http://schemas.openxmlformats.org/officeDocument/2006/relationships/externalLinkPath" Target="file:///C:\Users\bomolu\AppData\Local\Microsoft\Windows\INetCache\Content.Outlook\9UXC2MIR\IT23167%20-%20The%20Usual%20_%20J-03-02%20-%20Cost%20Control_2026.05.15%20(002).xlsx" TargetMode="External"/><Relationship Id="rId1" Type="http://schemas.openxmlformats.org/officeDocument/2006/relationships/externalLinkPath" Target="/Users/bomolu/AppData/Local/Microsoft/Windows/INetCache/Content.Outlook/9UXC2MIR/IT23167%20-%20The%20Usual%20_%20J-03-02%20-%20Cost%20Control_2026.05.15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st Control"/>
      <sheetName val="Check"/>
      <sheetName val="SC_Contract-Cashflow"/>
      <sheetName val="Foglio1"/>
      <sheetName val="Foglio2"/>
      <sheetName val="Contracts &amp; Invoices"/>
      <sheetName val="Summary"/>
      <sheetName val="Contracts"/>
      <sheetName val="GEN_Cash flow"/>
      <sheetName val="SAL"/>
      <sheetName val="GC_Cash flow"/>
      <sheetName val="Variations"/>
      <sheetName val="Work schedule"/>
      <sheetName val="Cost division"/>
      <sheetName val="E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R12">
            <v>4000</v>
          </cell>
        </row>
        <row r="13">
          <cell r="R13">
            <v>2500</v>
          </cell>
        </row>
        <row r="14">
          <cell r="R14">
            <v>2600</v>
          </cell>
        </row>
        <row r="15">
          <cell r="R15">
            <v>29200</v>
          </cell>
        </row>
        <row r="16">
          <cell r="R16">
            <v>8000</v>
          </cell>
        </row>
        <row r="17">
          <cell r="R17">
            <v>27000</v>
          </cell>
        </row>
        <row r="18">
          <cell r="R18">
            <v>76240</v>
          </cell>
        </row>
        <row r="19">
          <cell r="R19">
            <v>11350.44</v>
          </cell>
        </row>
        <row r="20">
          <cell r="R20">
            <v>3304.35</v>
          </cell>
        </row>
        <row r="21">
          <cell r="R21">
            <v>80028</v>
          </cell>
        </row>
        <row r="22">
          <cell r="R22">
            <v>2470</v>
          </cell>
        </row>
        <row r="23">
          <cell r="R23">
            <v>16000</v>
          </cell>
        </row>
        <row r="24">
          <cell r="R24">
            <v>6298</v>
          </cell>
        </row>
        <row r="25">
          <cell r="R25">
            <v>85</v>
          </cell>
        </row>
        <row r="26">
          <cell r="R26">
            <v>504</v>
          </cell>
        </row>
        <row r="27">
          <cell r="R27">
            <v>0</v>
          </cell>
        </row>
        <row r="28">
          <cell r="R28">
            <v>4036</v>
          </cell>
        </row>
        <row r="29">
          <cell r="R29">
            <v>14046</v>
          </cell>
        </row>
        <row r="30">
          <cell r="R30">
            <v>6120</v>
          </cell>
        </row>
        <row r="31">
          <cell r="R31">
            <v>57180</v>
          </cell>
        </row>
        <row r="32">
          <cell r="R32">
            <v>38120</v>
          </cell>
        </row>
        <row r="33">
          <cell r="R33">
            <v>11426.08695652174</v>
          </cell>
        </row>
        <row r="34">
          <cell r="R34">
            <v>11426.08695652174</v>
          </cell>
        </row>
        <row r="35">
          <cell r="R35">
            <v>0</v>
          </cell>
        </row>
        <row r="36">
          <cell r="R36">
            <v>3130.4347826086955</v>
          </cell>
        </row>
        <row r="37">
          <cell r="R37">
            <v>3130.4347826086955</v>
          </cell>
        </row>
        <row r="38">
          <cell r="R38">
            <v>0</v>
          </cell>
        </row>
        <row r="39">
          <cell r="R39">
            <v>84240</v>
          </cell>
        </row>
        <row r="40">
          <cell r="R40">
            <v>4212</v>
          </cell>
        </row>
        <row r="41">
          <cell r="R41">
            <v>869.56521739130437</v>
          </cell>
        </row>
        <row r="42">
          <cell r="R42">
            <v>869.56521739130437</v>
          </cell>
        </row>
        <row r="43">
          <cell r="R43">
            <v>869.56521739130437</v>
          </cell>
        </row>
        <row r="44">
          <cell r="R44">
            <v>11426.08695652174</v>
          </cell>
        </row>
        <row r="45">
          <cell r="R45">
            <v>3130.4347826086955</v>
          </cell>
        </row>
        <row r="46">
          <cell r="R46">
            <v>84240</v>
          </cell>
        </row>
        <row r="47">
          <cell r="R47">
            <v>869.56521739130437</v>
          </cell>
        </row>
        <row r="48">
          <cell r="R48">
            <v>130</v>
          </cell>
        </row>
        <row r="49">
          <cell r="R49">
            <v>10400</v>
          </cell>
        </row>
        <row r="50">
          <cell r="R50">
            <v>16716.28</v>
          </cell>
        </row>
        <row r="51">
          <cell r="R51">
            <v>5040</v>
          </cell>
        </row>
        <row r="52">
          <cell r="R52">
            <v>720</v>
          </cell>
        </row>
        <row r="53">
          <cell r="R53">
            <v>16</v>
          </cell>
        </row>
        <row r="54">
          <cell r="R54">
            <v>-720</v>
          </cell>
        </row>
        <row r="55">
          <cell r="R55">
            <v>1056</v>
          </cell>
        </row>
        <row r="56">
          <cell r="R56">
            <v>11426.08695652174</v>
          </cell>
        </row>
        <row r="57">
          <cell r="R57">
            <v>3130.4347826086955</v>
          </cell>
        </row>
        <row r="58">
          <cell r="R58">
            <v>869.56521739130437</v>
          </cell>
        </row>
        <row r="59">
          <cell r="R59">
            <v>1680</v>
          </cell>
        </row>
        <row r="60">
          <cell r="R60">
            <v>5430</v>
          </cell>
        </row>
        <row r="61">
          <cell r="R61">
            <v>6122</v>
          </cell>
        </row>
        <row r="62">
          <cell r="R62">
            <v>278</v>
          </cell>
        </row>
        <row r="63">
          <cell r="R63">
            <v>30</v>
          </cell>
        </row>
        <row r="64">
          <cell r="R64">
            <v>9530</v>
          </cell>
        </row>
        <row r="65">
          <cell r="R65">
            <v>11426.08695652174</v>
          </cell>
        </row>
        <row r="66">
          <cell r="R66">
            <v>3130.4347826086955</v>
          </cell>
        </row>
        <row r="67">
          <cell r="R67">
            <v>9360</v>
          </cell>
        </row>
        <row r="68">
          <cell r="R68">
            <v>6240</v>
          </cell>
        </row>
        <row r="69">
          <cell r="R69">
            <v>869.56521739130437</v>
          </cell>
        </row>
        <row r="70">
          <cell r="R70">
            <v>0</v>
          </cell>
        </row>
        <row r="71">
          <cell r="R71">
            <v>11906.24</v>
          </cell>
        </row>
        <row r="72">
          <cell r="R72">
            <v>30</v>
          </cell>
        </row>
        <row r="73">
          <cell r="R73">
            <v>11426.08695652174</v>
          </cell>
        </row>
        <row r="74">
          <cell r="R74">
            <v>3130.4347826086955</v>
          </cell>
        </row>
        <row r="75">
          <cell r="R75">
            <v>6479.9904000000006</v>
          </cell>
        </row>
        <row r="76">
          <cell r="R76">
            <v>4319.9935999999998</v>
          </cell>
        </row>
        <row r="77">
          <cell r="R77">
            <v>869.56521739130437</v>
          </cell>
        </row>
        <row r="78">
          <cell r="R78">
            <v>763.7</v>
          </cell>
        </row>
        <row r="79">
          <cell r="R79">
            <v>4854</v>
          </cell>
        </row>
        <row r="80">
          <cell r="R80">
            <v>45704</v>
          </cell>
        </row>
        <row r="81">
          <cell r="R81">
            <v>12520</v>
          </cell>
        </row>
        <row r="82">
          <cell r="R82">
            <v>3480</v>
          </cell>
        </row>
        <row r="83">
          <cell r="R83">
            <v>1288.32</v>
          </cell>
        </row>
        <row r="84">
          <cell r="R84">
            <v>3000</v>
          </cell>
        </row>
        <row r="85">
          <cell r="R85">
            <v>10000</v>
          </cell>
        </row>
        <row r="86">
          <cell r="R86">
            <v>0</v>
          </cell>
        </row>
        <row r="88">
          <cell r="R88">
            <v>1620</v>
          </cell>
        </row>
        <row r="89">
          <cell r="R89">
            <v>2580</v>
          </cell>
        </row>
        <row r="90">
          <cell r="R90">
            <v>20442.39</v>
          </cell>
        </row>
        <row r="91">
          <cell r="R91">
            <v>9530</v>
          </cell>
        </row>
        <row r="92">
          <cell r="R92">
            <v>11426</v>
          </cell>
        </row>
        <row r="93">
          <cell r="R93">
            <v>11426</v>
          </cell>
        </row>
        <row r="94">
          <cell r="R94">
            <v>3130.65</v>
          </cell>
        </row>
        <row r="95">
          <cell r="R95">
            <v>3130.65</v>
          </cell>
        </row>
        <row r="96">
          <cell r="R96">
            <v>6480.0008000000007</v>
          </cell>
        </row>
        <row r="97">
          <cell r="R97">
            <v>6480.0008000000007</v>
          </cell>
        </row>
        <row r="98">
          <cell r="R98">
            <v>4320.0040000000008</v>
          </cell>
        </row>
        <row r="99">
          <cell r="R99">
            <v>4320.0040000000008</v>
          </cell>
        </row>
        <row r="100">
          <cell r="R100">
            <v>869.34</v>
          </cell>
        </row>
        <row r="101">
          <cell r="R101">
            <v>869.34</v>
          </cell>
        </row>
        <row r="106">
          <cell r="R106">
            <v>119173.76999999999</v>
          </cell>
        </row>
        <row r="107">
          <cell r="R107">
            <v>0</v>
          </cell>
        </row>
        <row r="108">
          <cell r="R108">
            <v>0</v>
          </cell>
        </row>
        <row r="109">
          <cell r="R109">
            <v>0</v>
          </cell>
        </row>
        <row r="110">
          <cell r="R110">
            <v>23654.034</v>
          </cell>
        </row>
        <row r="112">
          <cell r="R112">
            <v>11426.14</v>
          </cell>
        </row>
        <row r="113">
          <cell r="R113">
            <v>3130.56</v>
          </cell>
        </row>
        <row r="114">
          <cell r="R114">
            <v>6480.0008000000007</v>
          </cell>
        </row>
        <row r="115">
          <cell r="R115">
            <v>4320.0040000000008</v>
          </cell>
        </row>
        <row r="116">
          <cell r="R116">
            <v>869.43</v>
          </cell>
        </row>
        <row r="117">
          <cell r="R117">
            <v>123448.03200000001</v>
          </cell>
        </row>
        <row r="118">
          <cell r="R118">
            <v>0</v>
          </cell>
        </row>
        <row r="119">
          <cell r="R119">
            <v>38719.286999999997</v>
          </cell>
        </row>
        <row r="120">
          <cell r="R120">
            <v>20168.019</v>
          </cell>
        </row>
        <row r="121">
          <cell r="R121">
            <v>16545.78</v>
          </cell>
        </row>
        <row r="122">
          <cell r="R122">
            <v>23866</v>
          </cell>
        </row>
        <row r="123">
          <cell r="R123">
            <v>7950</v>
          </cell>
        </row>
        <row r="124">
          <cell r="R124">
            <v>1650</v>
          </cell>
        </row>
        <row r="125">
          <cell r="R125">
            <v>11426.14</v>
          </cell>
        </row>
        <row r="126">
          <cell r="R126">
            <v>3130.56</v>
          </cell>
        </row>
        <row r="127">
          <cell r="R127">
            <v>6480.0008000000007</v>
          </cell>
        </row>
        <row r="128">
          <cell r="R128">
            <v>4320.0040000000008</v>
          </cell>
        </row>
        <row r="129">
          <cell r="R129">
            <v>869.43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c Laros" id="{53885CFC-1446-2149-9038-2445905EE279}" userId="marc.laros@theusual.com" providerId="PeoplePicker"/>
  <person displayName="Joyce Hilders" id="{FD3179DF-1E3D-46E9-83C5-7C36C2F20BE8}" userId="joyce.hilders@theusual.com" providerId="PeoplePicker"/>
  <person displayName="Joyce Hilders" id="{E05EF4CB-FF62-45AB-BBBA-2E7E6E10F1E1}" userId="S::joyce.hilders@theusual.com::96c08a30-77ad-4196-a6db-fb7ad20b713c" providerId="AD"/>
  <person displayName="Joachim De Looij" id="{C548909E-D2B7-4724-96F8-7BD89F99216B}" userId="S::joachim.delooij@theusual.com::009ceeaa-fed7-4ec6-beaf-ade5149ba2a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93" dT="2026-07-02T15:40:43.67" personId="{E05EF4CB-FF62-45AB-BBBA-2E7E6E10F1E1}" id="{6BDE0698-D686-42FD-B7B5-279934B3F39D}">
    <text>Notice in lieu of notice (Mancato Preavviso Ditta), excl. employer contributions. Was included in January 2026 payroll.</text>
  </threadedComment>
  <threadedComment ref="Z93" dT="2026-06-19T11:58:23.28" personId="{C548909E-D2B7-4724-96F8-7BD89F99216B}" id="{0BFAB570-AD50-4368-8FE7-19F11226639A}" done="1">
    <text>@Joyce Hilders Kosten updaten, met kosten tot nu toe gemaakt en wat er overblijft kosten die we nog verwachten en in welke maand</text>
    <mentions>
      <mention mentionpersonId="{FD3179DF-1E3D-46E9-83C5-7C36C2F20BE8}" mentionId="{7684FE52-FD2E-49BE-B74B-AE221548A327}" startIndex="0" length="14"/>
    </mentions>
  </threadedComment>
  <threadedComment ref="B97" dT="2026-07-03T12:20:09.98" personId="{C548909E-D2B7-4724-96F8-7BD89F99216B}" id="{3A5559D9-CBF8-4B5C-943D-7D53B71F7CE6}">
    <text>@Marc Laros Hi Marc, dit is het stuk voor jou om aan te vullen voor alle IT kosten die niet in het OS&amp;E budget staan</text>
    <mentions>
      <mention mentionpersonId="{53885CFC-1446-2149-9038-2445905EE279}" mentionId="{E926E533-F097-450A-A74A-D081E6AD5C4C}" startIndex="0" length="11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58BEDE-8B0A-4B6C-8373-AD3BFF9BF17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43fe182-04d8-42f4-af34-fe340cf285c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cs.google.com/spreadsheets/d/1kskXNJrOehOrFJL74BnDOrRFxJzTssWdWv1o_tXqt0o/edit?gid=1181706149" TargetMode="External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6E61-D886-47EA-B5C9-9074A0935495}">
  <dimension ref="B2:T124"/>
  <sheetViews>
    <sheetView showGridLines="0" zoomScaleNormal="100" workbookViewId="0">
      <pane xSplit="4" ySplit="4" topLeftCell="E44" activePane="bottomRight" state="frozen"/>
      <selection pane="topRight" activeCell="AC16" sqref="AC16"/>
      <selection pane="bottomLeft" activeCell="AC16" sqref="AC16"/>
      <selection pane="bottomRight" activeCell="AC16" sqref="AC16"/>
    </sheetView>
  </sheetViews>
  <sheetFormatPr defaultColWidth="8.7109375" defaultRowHeight="15" x14ac:dyDescent="0.25"/>
  <cols>
    <col min="1" max="1" width="4.7109375" customWidth="1"/>
    <col min="2" max="2" width="7.28515625" style="3" customWidth="1"/>
    <col min="3" max="3" width="12" bestFit="1" customWidth="1"/>
    <col min="4" max="4" width="12" customWidth="1"/>
    <col min="5" max="5" width="15.140625" style="3" customWidth="1"/>
    <col min="6" max="6" width="18.85546875" customWidth="1"/>
    <col min="7" max="7" width="36.7109375" customWidth="1"/>
    <col min="8" max="13" width="12.42578125" customWidth="1"/>
    <col min="14" max="18" width="10.85546875" style="3" customWidth="1"/>
  </cols>
  <sheetData>
    <row r="2" spans="2:20" x14ac:dyDescent="0.25">
      <c r="B2" s="49" t="s">
        <v>0</v>
      </c>
      <c r="C2" s="50"/>
      <c r="D2" s="50"/>
      <c r="E2" s="49"/>
      <c r="F2" s="50"/>
      <c r="G2" s="50"/>
      <c r="H2" s="51">
        <f t="shared" ref="H2:M2" si="0">SUM(H5:H2997)</f>
        <v>1865516.2764458887</v>
      </c>
      <c r="I2" s="51">
        <f t="shared" si="0"/>
        <v>1804280.6038371925</v>
      </c>
      <c r="J2" s="51">
        <f t="shared" si="0"/>
        <v>12996.923199999999</v>
      </c>
      <c r="K2" s="51">
        <f t="shared" si="0"/>
        <v>1817277.5270371928</v>
      </c>
      <c r="L2" s="51">
        <f t="shared" si="0"/>
        <v>272620.69981460873</v>
      </c>
      <c r="M2" s="51">
        <f t="shared" si="0"/>
        <v>2089898.2268518016</v>
      </c>
      <c r="N2" s="49"/>
      <c r="O2" s="49"/>
      <c r="P2" s="49"/>
      <c r="Q2" s="49"/>
      <c r="R2" s="49"/>
    </row>
    <row r="4" spans="2:20" ht="54.95" customHeight="1" x14ac:dyDescent="0.25">
      <c r="B4" s="10" t="s">
        <v>1</v>
      </c>
      <c r="C4" s="4" t="s">
        <v>2</v>
      </c>
      <c r="D4" s="4" t="s">
        <v>3</v>
      </c>
      <c r="E4" s="10" t="s">
        <v>4</v>
      </c>
      <c r="F4" s="4" t="s">
        <v>5</v>
      </c>
      <c r="G4" s="4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</row>
    <row r="5" spans="2:20" x14ac:dyDescent="0.25">
      <c r="B5" s="48">
        <v>1</v>
      </c>
      <c r="C5" s="7">
        <v>45716</v>
      </c>
      <c r="D5" s="17">
        <f>EOMONTH(C5,0)</f>
        <v>45716</v>
      </c>
      <c r="E5" s="11" t="s">
        <v>18</v>
      </c>
      <c r="F5" s="1" t="s">
        <v>19</v>
      </c>
      <c r="G5" s="1" t="s">
        <v>20</v>
      </c>
      <c r="H5" s="9">
        <v>4000</v>
      </c>
      <c r="I5" s="9">
        <v>4000</v>
      </c>
      <c r="J5" s="9">
        <v>0</v>
      </c>
      <c r="K5" s="1">
        <f>SUM(I5,J5)</f>
        <v>4000</v>
      </c>
      <c r="L5" s="9">
        <v>0</v>
      </c>
      <c r="M5" s="16">
        <f>SUM(K5,L5)</f>
        <v>4000</v>
      </c>
      <c r="N5" s="13">
        <v>1</v>
      </c>
      <c r="O5" s="13">
        <v>1</v>
      </c>
      <c r="P5" s="13">
        <v>1</v>
      </c>
      <c r="Q5" s="13">
        <v>1</v>
      </c>
      <c r="R5" s="13">
        <v>1</v>
      </c>
      <c r="T5" s="1">
        <f>K5-'[1]Contracts &amp; Invoices'!R12</f>
        <v>0</v>
      </c>
    </row>
    <row r="6" spans="2:20" x14ac:dyDescent="0.25">
      <c r="B6" s="48">
        <v>2</v>
      </c>
      <c r="C6" s="7">
        <v>45729</v>
      </c>
      <c r="D6" s="17">
        <f t="shared" ref="D6:D69" si="1">EOMONTH(C6,0)</f>
        <v>45747</v>
      </c>
      <c r="E6" s="11" t="s">
        <v>21</v>
      </c>
      <c r="F6" s="1" t="s">
        <v>22</v>
      </c>
      <c r="G6" s="1" t="s">
        <v>23</v>
      </c>
      <c r="H6" s="9">
        <v>2500</v>
      </c>
      <c r="I6" s="9">
        <v>2500</v>
      </c>
      <c r="J6" s="9">
        <v>0</v>
      </c>
      <c r="K6" s="1">
        <f t="shared" ref="K6:K69" si="2">SUM(I6,J6)</f>
        <v>2500</v>
      </c>
      <c r="L6" s="9">
        <v>0</v>
      </c>
      <c r="M6" s="16">
        <f t="shared" ref="M6:M69" si="3">SUM(K6,L6)</f>
        <v>2500</v>
      </c>
      <c r="N6" s="13">
        <v>1</v>
      </c>
      <c r="O6" s="13">
        <v>1</v>
      </c>
      <c r="P6" s="13">
        <v>1</v>
      </c>
      <c r="Q6" s="13">
        <v>1</v>
      </c>
      <c r="R6" s="13">
        <v>1</v>
      </c>
      <c r="T6" s="1">
        <f>K6-'[1]Contracts &amp; Invoices'!R13</f>
        <v>0</v>
      </c>
    </row>
    <row r="7" spans="2:20" x14ac:dyDescent="0.25">
      <c r="B7" s="48">
        <v>3</v>
      </c>
      <c r="C7" s="7">
        <v>45745</v>
      </c>
      <c r="D7" s="17">
        <f t="shared" si="1"/>
        <v>45747</v>
      </c>
      <c r="E7" s="11" t="s">
        <v>24</v>
      </c>
      <c r="F7" s="1" t="s">
        <v>25</v>
      </c>
      <c r="G7" s="1" t="s">
        <v>26</v>
      </c>
      <c r="H7" s="9">
        <v>2600</v>
      </c>
      <c r="I7" s="9">
        <v>2500</v>
      </c>
      <c r="J7" s="9">
        <v>100</v>
      </c>
      <c r="K7" s="1">
        <f t="shared" si="2"/>
        <v>2600</v>
      </c>
      <c r="L7" s="9">
        <v>572</v>
      </c>
      <c r="M7" s="16">
        <f t="shared" si="3"/>
        <v>3172</v>
      </c>
      <c r="N7" s="13">
        <v>1</v>
      </c>
      <c r="O7" s="13">
        <v>1</v>
      </c>
      <c r="P7" s="13">
        <v>1</v>
      </c>
      <c r="Q7" s="13">
        <v>1</v>
      </c>
      <c r="R7" s="13">
        <v>1</v>
      </c>
      <c r="T7" s="1">
        <f>K7-'[1]Contracts &amp; Invoices'!R14</f>
        <v>0</v>
      </c>
    </row>
    <row r="8" spans="2:20" x14ac:dyDescent="0.25">
      <c r="B8" s="48">
        <v>4</v>
      </c>
      <c r="C8" s="7">
        <v>45807</v>
      </c>
      <c r="D8" s="17">
        <f t="shared" si="1"/>
        <v>45808</v>
      </c>
      <c r="E8" s="11" t="s">
        <v>27</v>
      </c>
      <c r="F8" s="1" t="s">
        <v>28</v>
      </c>
      <c r="G8" s="1" t="s">
        <v>29</v>
      </c>
      <c r="H8" s="9">
        <v>29200</v>
      </c>
      <c r="I8" s="9">
        <v>29200</v>
      </c>
      <c r="J8" s="9">
        <v>0</v>
      </c>
      <c r="K8" s="1">
        <f t="shared" si="2"/>
        <v>29200</v>
      </c>
      <c r="L8" s="9">
        <v>6424</v>
      </c>
      <c r="M8" s="16">
        <f t="shared" si="3"/>
        <v>35624</v>
      </c>
      <c r="N8" s="13">
        <v>1</v>
      </c>
      <c r="O8" s="13">
        <v>1</v>
      </c>
      <c r="P8" s="13">
        <v>1</v>
      </c>
      <c r="Q8" s="13">
        <v>1</v>
      </c>
      <c r="R8" s="13">
        <v>1</v>
      </c>
      <c r="T8" s="1">
        <f>K8-'[1]Contracts &amp; Invoices'!R15</f>
        <v>0</v>
      </c>
    </row>
    <row r="9" spans="2:20" x14ac:dyDescent="0.25">
      <c r="B9" s="48">
        <v>5</v>
      </c>
      <c r="C9" s="7">
        <v>45807</v>
      </c>
      <c r="D9" s="17">
        <f t="shared" si="1"/>
        <v>45808</v>
      </c>
      <c r="E9" s="11" t="s">
        <v>27</v>
      </c>
      <c r="F9" s="1" t="s">
        <v>28</v>
      </c>
      <c r="G9" s="1" t="s">
        <v>30</v>
      </c>
      <c r="H9" s="9">
        <v>8000</v>
      </c>
      <c r="I9" s="9">
        <v>8000</v>
      </c>
      <c r="J9" s="9">
        <v>0</v>
      </c>
      <c r="K9" s="1">
        <f t="shared" si="2"/>
        <v>8000</v>
      </c>
      <c r="L9" s="9">
        <v>1760</v>
      </c>
      <c r="M9" s="16">
        <f t="shared" si="3"/>
        <v>9760</v>
      </c>
      <c r="N9" s="13">
        <v>1</v>
      </c>
      <c r="O9" s="13">
        <v>1</v>
      </c>
      <c r="P9" s="13">
        <v>1</v>
      </c>
      <c r="Q9" s="13">
        <v>1</v>
      </c>
      <c r="R9" s="13">
        <v>1</v>
      </c>
      <c r="T9" s="1">
        <f>K9-'[1]Contracts &amp; Invoices'!R16</f>
        <v>0</v>
      </c>
    </row>
    <row r="10" spans="2:20" x14ac:dyDescent="0.25">
      <c r="B10" s="48">
        <v>6</v>
      </c>
      <c r="C10" s="7">
        <v>45807</v>
      </c>
      <c r="D10" s="17">
        <f t="shared" si="1"/>
        <v>45808</v>
      </c>
      <c r="E10" s="11" t="s">
        <v>27</v>
      </c>
      <c r="F10" s="1" t="s">
        <v>28</v>
      </c>
      <c r="G10" s="1" t="s">
        <v>31</v>
      </c>
      <c r="H10" s="9">
        <v>28080</v>
      </c>
      <c r="I10" s="9">
        <v>27000</v>
      </c>
      <c r="J10" s="9">
        <v>0</v>
      </c>
      <c r="K10" s="1">
        <f t="shared" si="2"/>
        <v>27000</v>
      </c>
      <c r="L10" s="9">
        <v>5940</v>
      </c>
      <c r="M10" s="16">
        <f t="shared" si="3"/>
        <v>32940</v>
      </c>
      <c r="N10" s="13">
        <v>1</v>
      </c>
      <c r="O10" s="13">
        <v>1</v>
      </c>
      <c r="P10" s="13">
        <v>1</v>
      </c>
      <c r="Q10" s="13">
        <v>1</v>
      </c>
      <c r="R10" s="13">
        <v>1</v>
      </c>
      <c r="T10" s="1">
        <f>K10-'[1]Contracts &amp; Invoices'!R17</f>
        <v>0</v>
      </c>
    </row>
    <row r="11" spans="2:20" x14ac:dyDescent="0.25">
      <c r="B11" s="48">
        <v>7</v>
      </c>
      <c r="C11" s="7">
        <v>45821</v>
      </c>
      <c r="D11" s="17">
        <f t="shared" si="1"/>
        <v>45838</v>
      </c>
      <c r="E11" s="11" t="s">
        <v>32</v>
      </c>
      <c r="F11" s="1" t="s">
        <v>33</v>
      </c>
      <c r="G11" s="1" t="s">
        <v>34</v>
      </c>
      <c r="H11" s="9">
        <v>76240</v>
      </c>
      <c r="I11" s="9">
        <v>76240</v>
      </c>
      <c r="J11" s="9">
        <v>0</v>
      </c>
      <c r="K11" s="1">
        <f t="shared" si="2"/>
        <v>76240</v>
      </c>
      <c r="L11" s="9">
        <v>16772.8</v>
      </c>
      <c r="M11" s="16">
        <f t="shared" si="3"/>
        <v>93012.800000000003</v>
      </c>
      <c r="N11" s="13">
        <v>1</v>
      </c>
      <c r="O11" s="13">
        <v>1</v>
      </c>
      <c r="P11" s="13">
        <v>1</v>
      </c>
      <c r="Q11" s="13">
        <v>1</v>
      </c>
      <c r="R11" s="13">
        <v>1</v>
      </c>
      <c r="T11" s="1">
        <f>K11-'[1]Contracts &amp; Invoices'!R18</f>
        <v>0</v>
      </c>
    </row>
    <row r="12" spans="2:20" x14ac:dyDescent="0.25">
      <c r="B12" s="48">
        <v>8</v>
      </c>
      <c r="C12" s="7">
        <v>45838</v>
      </c>
      <c r="D12" s="17">
        <f t="shared" si="1"/>
        <v>45838</v>
      </c>
      <c r="E12" s="11" t="s">
        <v>35</v>
      </c>
      <c r="F12" s="1" t="s">
        <v>28</v>
      </c>
      <c r="G12" s="1" t="s">
        <v>29</v>
      </c>
      <c r="H12" s="9">
        <v>11426.08695652174</v>
      </c>
      <c r="I12" s="9">
        <v>11350.44</v>
      </c>
      <c r="J12" s="9">
        <v>0</v>
      </c>
      <c r="K12" s="1">
        <f t="shared" si="2"/>
        <v>11350.44</v>
      </c>
      <c r="L12" s="9">
        <v>2497.0968000000003</v>
      </c>
      <c r="M12" s="16">
        <f t="shared" si="3"/>
        <v>13847.536800000002</v>
      </c>
      <c r="N12" s="13">
        <v>1</v>
      </c>
      <c r="O12" s="13">
        <v>1</v>
      </c>
      <c r="P12" s="13">
        <v>1</v>
      </c>
      <c r="Q12" s="13">
        <v>1</v>
      </c>
      <c r="R12" s="13">
        <v>1</v>
      </c>
      <c r="T12" s="1">
        <f>K12-'[1]Contracts &amp; Invoices'!R19</f>
        <v>0</v>
      </c>
    </row>
    <row r="13" spans="2:20" x14ac:dyDescent="0.25">
      <c r="B13" s="48">
        <v>9</v>
      </c>
      <c r="C13" s="7">
        <v>45838</v>
      </c>
      <c r="D13" s="17">
        <f t="shared" si="1"/>
        <v>45838</v>
      </c>
      <c r="E13" s="11" t="s">
        <v>35</v>
      </c>
      <c r="F13" s="1" t="s">
        <v>28</v>
      </c>
      <c r="G13" s="1" t="s">
        <v>30</v>
      </c>
      <c r="H13" s="9">
        <v>3130.4347826086955</v>
      </c>
      <c r="I13" s="9">
        <v>3304.35</v>
      </c>
      <c r="J13" s="9">
        <v>0</v>
      </c>
      <c r="K13" s="1">
        <f t="shared" si="2"/>
        <v>3304.35</v>
      </c>
      <c r="L13" s="9">
        <v>726.95699999999999</v>
      </c>
      <c r="M13" s="16">
        <f t="shared" si="3"/>
        <v>4031.3069999999998</v>
      </c>
      <c r="N13" s="13">
        <v>1</v>
      </c>
      <c r="O13" s="13">
        <v>1</v>
      </c>
      <c r="P13" s="13">
        <v>1</v>
      </c>
      <c r="Q13" s="13">
        <v>1</v>
      </c>
      <c r="R13" s="13">
        <v>1</v>
      </c>
      <c r="T13" s="1">
        <f>K13-'[1]Contracts &amp; Invoices'!R20</f>
        <v>0</v>
      </c>
    </row>
    <row r="14" spans="2:20" x14ac:dyDescent="0.25">
      <c r="B14" s="48">
        <v>10</v>
      </c>
      <c r="C14" s="7">
        <v>45838</v>
      </c>
      <c r="D14" s="17">
        <f t="shared" si="1"/>
        <v>45838</v>
      </c>
      <c r="E14" s="11" t="s">
        <v>35</v>
      </c>
      <c r="F14" s="1" t="s">
        <v>28</v>
      </c>
      <c r="G14" s="1" t="s">
        <v>31</v>
      </c>
      <c r="H14" s="9">
        <v>84240</v>
      </c>
      <c r="I14" s="9">
        <v>76950</v>
      </c>
      <c r="J14" s="9">
        <v>3078</v>
      </c>
      <c r="K14" s="1">
        <f t="shared" si="2"/>
        <v>80028</v>
      </c>
      <c r="L14" s="9">
        <v>17606.16</v>
      </c>
      <c r="M14" s="16">
        <f t="shared" si="3"/>
        <v>97634.16</v>
      </c>
      <c r="N14" s="13">
        <v>1</v>
      </c>
      <c r="O14" s="13">
        <v>1</v>
      </c>
      <c r="P14" s="13">
        <v>1</v>
      </c>
      <c r="Q14" s="13">
        <v>1</v>
      </c>
      <c r="R14" s="13">
        <v>1</v>
      </c>
      <c r="T14" s="1">
        <f>K14-'[1]Contracts &amp; Invoices'!R21</f>
        <v>0</v>
      </c>
    </row>
    <row r="15" spans="2:20" x14ac:dyDescent="0.25">
      <c r="B15" s="48">
        <v>11</v>
      </c>
      <c r="C15" s="7">
        <v>45838</v>
      </c>
      <c r="D15" s="17">
        <f t="shared" si="1"/>
        <v>45838</v>
      </c>
      <c r="E15" s="11" t="s">
        <v>35</v>
      </c>
      <c r="F15" s="1" t="s">
        <v>28</v>
      </c>
      <c r="G15" s="1" t="s">
        <v>36</v>
      </c>
      <c r="H15" s="9">
        <v>2600</v>
      </c>
      <c r="I15" s="9">
        <v>2375</v>
      </c>
      <c r="J15" s="9">
        <v>95</v>
      </c>
      <c r="K15" s="1">
        <f t="shared" si="2"/>
        <v>2470</v>
      </c>
      <c r="L15" s="9">
        <v>543.4</v>
      </c>
      <c r="M15" s="16">
        <f t="shared" si="3"/>
        <v>3013.4</v>
      </c>
      <c r="N15" s="13">
        <v>1</v>
      </c>
      <c r="O15" s="13">
        <v>1</v>
      </c>
      <c r="P15" s="13">
        <v>1</v>
      </c>
      <c r="Q15" s="13">
        <v>1</v>
      </c>
      <c r="R15" s="13">
        <v>1</v>
      </c>
      <c r="T15" s="1">
        <f>K15-'[1]Contracts &amp; Invoices'!R22</f>
        <v>0</v>
      </c>
    </row>
    <row r="16" spans="2:20" x14ac:dyDescent="0.25">
      <c r="B16" s="48">
        <v>12</v>
      </c>
      <c r="C16" s="7">
        <v>45852</v>
      </c>
      <c r="D16" s="17">
        <f t="shared" si="1"/>
        <v>45869</v>
      </c>
      <c r="E16" s="11" t="s">
        <v>37</v>
      </c>
      <c r="F16" s="1" t="s">
        <v>38</v>
      </c>
      <c r="G16" s="1" t="s">
        <v>39</v>
      </c>
      <c r="H16" s="9">
        <v>16000</v>
      </c>
      <c r="I16" s="9">
        <v>16000</v>
      </c>
      <c r="J16" s="9">
        <v>0</v>
      </c>
      <c r="K16" s="1">
        <f t="shared" si="2"/>
        <v>16000</v>
      </c>
      <c r="L16" s="9">
        <v>3520</v>
      </c>
      <c r="M16" s="16">
        <f t="shared" si="3"/>
        <v>19520</v>
      </c>
      <c r="N16" s="13">
        <v>1</v>
      </c>
      <c r="O16" s="13">
        <v>1</v>
      </c>
      <c r="P16" s="13">
        <v>1</v>
      </c>
      <c r="Q16" s="13">
        <v>1</v>
      </c>
      <c r="R16" s="13">
        <v>1</v>
      </c>
      <c r="T16" s="1">
        <f>K16-'[1]Contracts &amp; Invoices'!R23</f>
        <v>0</v>
      </c>
    </row>
    <row r="17" spans="2:20" x14ac:dyDescent="0.25">
      <c r="B17" s="48">
        <v>13</v>
      </c>
      <c r="C17" s="7">
        <v>45874</v>
      </c>
      <c r="D17" s="17">
        <f t="shared" si="1"/>
        <v>45900</v>
      </c>
      <c r="E17" s="11" t="s">
        <v>40</v>
      </c>
      <c r="F17" s="1" t="s">
        <v>41</v>
      </c>
      <c r="G17" s="1" t="s">
        <v>42</v>
      </c>
      <c r="H17" s="9">
        <v>6298</v>
      </c>
      <c r="I17" s="9">
        <v>6298</v>
      </c>
      <c r="J17" s="9">
        <v>0</v>
      </c>
      <c r="K17" s="1">
        <f t="shared" si="2"/>
        <v>6298</v>
      </c>
      <c r="L17" s="9">
        <v>0</v>
      </c>
      <c r="M17" s="16">
        <f t="shared" si="3"/>
        <v>6298</v>
      </c>
      <c r="N17" s="13">
        <v>1</v>
      </c>
      <c r="O17" s="13">
        <v>1</v>
      </c>
      <c r="P17" s="13">
        <v>1</v>
      </c>
      <c r="Q17" s="13">
        <v>1</v>
      </c>
      <c r="R17" s="13">
        <v>1</v>
      </c>
      <c r="T17" s="1">
        <f>K17-'[1]Contracts &amp; Invoices'!R24</f>
        <v>0</v>
      </c>
    </row>
    <row r="18" spans="2:20" x14ac:dyDescent="0.25">
      <c r="B18" s="48">
        <v>14</v>
      </c>
      <c r="C18" s="8">
        <v>45886</v>
      </c>
      <c r="D18" s="17">
        <f t="shared" si="1"/>
        <v>45900</v>
      </c>
      <c r="E18" s="11" t="s">
        <v>43</v>
      </c>
      <c r="F18" s="1" t="s">
        <v>44</v>
      </c>
      <c r="G18" s="1" t="s">
        <v>45</v>
      </c>
      <c r="H18" s="9">
        <v>85</v>
      </c>
      <c r="I18" s="9">
        <v>85</v>
      </c>
      <c r="J18" s="9">
        <v>0</v>
      </c>
      <c r="K18" s="1">
        <f t="shared" si="2"/>
        <v>85</v>
      </c>
      <c r="L18" s="9">
        <v>18.7</v>
      </c>
      <c r="M18" s="16">
        <f t="shared" si="3"/>
        <v>103.7</v>
      </c>
      <c r="N18" s="13">
        <v>1</v>
      </c>
      <c r="O18" s="13">
        <v>1</v>
      </c>
      <c r="P18" s="13">
        <v>1</v>
      </c>
      <c r="Q18" s="13">
        <v>1</v>
      </c>
      <c r="R18" s="13">
        <v>0</v>
      </c>
      <c r="T18" s="1">
        <f>K18-'[1]Contracts &amp; Invoices'!R25</f>
        <v>0</v>
      </c>
    </row>
    <row r="19" spans="2:20" x14ac:dyDescent="0.25">
      <c r="B19" s="48">
        <v>15</v>
      </c>
      <c r="C19" s="7">
        <v>45889</v>
      </c>
      <c r="D19" s="17">
        <f t="shared" si="1"/>
        <v>45900</v>
      </c>
      <c r="E19" s="11" t="s">
        <v>46</v>
      </c>
      <c r="F19" s="1" t="s">
        <v>47</v>
      </c>
      <c r="G19" s="1" t="s">
        <v>48</v>
      </c>
      <c r="H19" s="9">
        <v>504</v>
      </c>
      <c r="I19" s="9">
        <v>504</v>
      </c>
      <c r="J19" s="9">
        <v>0</v>
      </c>
      <c r="K19" s="1">
        <f t="shared" si="2"/>
        <v>504</v>
      </c>
      <c r="L19" s="9">
        <v>0</v>
      </c>
      <c r="M19" s="16">
        <f t="shared" si="3"/>
        <v>504</v>
      </c>
      <c r="N19" s="13">
        <v>1</v>
      </c>
      <c r="O19" s="13">
        <v>1</v>
      </c>
      <c r="P19" s="13">
        <v>1</v>
      </c>
      <c r="Q19" s="13">
        <v>1</v>
      </c>
      <c r="R19" s="13">
        <v>1</v>
      </c>
      <c r="T19" s="1">
        <f>K19-'[1]Contracts &amp; Invoices'!R26</f>
        <v>0</v>
      </c>
    </row>
    <row r="20" spans="2:20" x14ac:dyDescent="0.25">
      <c r="B20" s="48">
        <v>16</v>
      </c>
      <c r="C20" s="7">
        <v>45898</v>
      </c>
      <c r="D20" s="17">
        <f t="shared" si="1"/>
        <v>45900</v>
      </c>
      <c r="E20" s="11" t="s">
        <v>49</v>
      </c>
      <c r="F20" s="1" t="s">
        <v>28</v>
      </c>
      <c r="G20" s="1" t="s">
        <v>31</v>
      </c>
      <c r="H20" s="14">
        <v>0</v>
      </c>
      <c r="I20" s="14">
        <v>0</v>
      </c>
      <c r="J20" s="14">
        <v>0</v>
      </c>
      <c r="K20" s="1">
        <f t="shared" si="2"/>
        <v>0</v>
      </c>
      <c r="L20" s="14">
        <v>0</v>
      </c>
      <c r="M20" s="16">
        <f t="shared" si="3"/>
        <v>0</v>
      </c>
      <c r="N20" s="13">
        <v>1</v>
      </c>
      <c r="O20" s="13">
        <v>1</v>
      </c>
      <c r="P20" s="13">
        <v>1</v>
      </c>
      <c r="Q20" s="13">
        <v>1</v>
      </c>
      <c r="R20" s="13">
        <v>1</v>
      </c>
      <c r="T20" s="1">
        <f>K20-'[1]Contracts &amp; Invoices'!R27</f>
        <v>0</v>
      </c>
    </row>
    <row r="21" spans="2:20" x14ac:dyDescent="0.25">
      <c r="B21" s="48">
        <v>17</v>
      </c>
      <c r="C21" s="8">
        <v>45908</v>
      </c>
      <c r="D21" s="17">
        <f t="shared" si="1"/>
        <v>45930</v>
      </c>
      <c r="E21" s="12">
        <v>3000103</v>
      </c>
      <c r="F21" s="1" t="s">
        <v>41</v>
      </c>
      <c r="G21" s="1" t="s">
        <v>42</v>
      </c>
      <c r="H21" s="9">
        <v>4036</v>
      </c>
      <c r="I21" s="9">
        <v>4036</v>
      </c>
      <c r="J21" s="9">
        <v>0</v>
      </c>
      <c r="K21" s="1">
        <f t="shared" si="2"/>
        <v>4036</v>
      </c>
      <c r="L21" s="14">
        <v>0</v>
      </c>
      <c r="M21" s="16">
        <f t="shared" si="3"/>
        <v>4036</v>
      </c>
      <c r="N21" s="13">
        <v>1</v>
      </c>
      <c r="O21" s="13">
        <v>1</v>
      </c>
      <c r="P21" s="13">
        <v>1</v>
      </c>
      <c r="Q21" s="13">
        <v>1</v>
      </c>
      <c r="R21" s="13">
        <v>1</v>
      </c>
      <c r="T21" s="1">
        <f>K21-'[1]Contracts &amp; Invoices'!R28</f>
        <v>0</v>
      </c>
    </row>
    <row r="22" spans="2:20" x14ac:dyDescent="0.25">
      <c r="B22" s="48">
        <v>18</v>
      </c>
      <c r="C22" s="7">
        <v>45916</v>
      </c>
      <c r="D22" s="17">
        <f t="shared" si="1"/>
        <v>45930</v>
      </c>
      <c r="E22" s="11" t="s">
        <v>50</v>
      </c>
      <c r="F22" s="1" t="s">
        <v>51</v>
      </c>
      <c r="G22" s="1" t="s">
        <v>52</v>
      </c>
      <c r="H22" s="9">
        <v>14046</v>
      </c>
      <c r="I22" s="9">
        <v>14046</v>
      </c>
      <c r="J22" s="9">
        <v>0</v>
      </c>
      <c r="K22" s="1">
        <f t="shared" si="2"/>
        <v>14046</v>
      </c>
      <c r="L22" s="9">
        <v>3090.12</v>
      </c>
      <c r="M22" s="16">
        <f t="shared" si="3"/>
        <v>17136.12</v>
      </c>
      <c r="N22" s="13">
        <v>1</v>
      </c>
      <c r="O22" s="13">
        <v>1</v>
      </c>
      <c r="P22" s="13">
        <v>1</v>
      </c>
      <c r="Q22" s="13">
        <v>1</v>
      </c>
      <c r="R22" s="13">
        <v>0</v>
      </c>
      <c r="T22" s="1">
        <f>K22-'[1]Contracts &amp; Invoices'!R29</f>
        <v>0</v>
      </c>
    </row>
    <row r="23" spans="2:20" x14ac:dyDescent="0.25">
      <c r="B23" s="48">
        <v>19</v>
      </c>
      <c r="C23" s="8">
        <v>45917</v>
      </c>
      <c r="D23" s="17">
        <f t="shared" si="1"/>
        <v>45930</v>
      </c>
      <c r="E23" s="12">
        <v>3000105</v>
      </c>
      <c r="F23" s="1" t="s">
        <v>41</v>
      </c>
      <c r="G23" s="1" t="s">
        <v>53</v>
      </c>
      <c r="H23" s="9">
        <v>6120</v>
      </c>
      <c r="I23" s="9">
        <v>6120</v>
      </c>
      <c r="J23" s="9">
        <v>0</v>
      </c>
      <c r="K23" s="1">
        <f t="shared" si="2"/>
        <v>6120</v>
      </c>
      <c r="L23" s="9">
        <v>0</v>
      </c>
      <c r="M23" s="16">
        <f t="shared" si="3"/>
        <v>6120</v>
      </c>
      <c r="N23" s="13">
        <v>1</v>
      </c>
      <c r="O23" s="13">
        <v>1</v>
      </c>
      <c r="P23" s="13">
        <v>1</v>
      </c>
      <c r="Q23" s="13">
        <v>1</v>
      </c>
      <c r="R23" s="13">
        <v>0</v>
      </c>
      <c r="T23" s="1">
        <f>K23-'[1]Contracts &amp; Invoices'!R30</f>
        <v>0</v>
      </c>
    </row>
    <row r="24" spans="2:20" x14ac:dyDescent="0.25">
      <c r="B24" s="48">
        <v>20</v>
      </c>
      <c r="C24" s="7">
        <v>45922</v>
      </c>
      <c r="D24" s="17">
        <f t="shared" si="1"/>
        <v>45930</v>
      </c>
      <c r="E24" s="11" t="s">
        <v>54</v>
      </c>
      <c r="F24" s="1" t="s">
        <v>33</v>
      </c>
      <c r="G24" s="1" t="s">
        <v>34</v>
      </c>
      <c r="H24" s="9">
        <v>57180</v>
      </c>
      <c r="I24" s="9">
        <v>57180</v>
      </c>
      <c r="J24" s="9">
        <v>0</v>
      </c>
      <c r="K24" s="1">
        <f t="shared" si="2"/>
        <v>57180</v>
      </c>
      <c r="L24" s="9">
        <v>12579.6</v>
      </c>
      <c r="M24" s="16">
        <f t="shared" si="3"/>
        <v>69759.600000000006</v>
      </c>
      <c r="N24" s="13">
        <v>1</v>
      </c>
      <c r="O24" s="13">
        <v>1</v>
      </c>
      <c r="P24" s="13">
        <v>1</v>
      </c>
      <c r="Q24" s="13">
        <v>1</v>
      </c>
      <c r="R24" s="13">
        <v>1</v>
      </c>
      <c r="T24" s="1">
        <f>K24-'[1]Contracts &amp; Invoices'!R31</f>
        <v>0</v>
      </c>
    </row>
    <row r="25" spans="2:20" x14ac:dyDescent="0.25">
      <c r="B25" s="48">
        <v>21</v>
      </c>
      <c r="C25" s="7">
        <v>45922</v>
      </c>
      <c r="D25" s="17">
        <f t="shared" si="1"/>
        <v>45930</v>
      </c>
      <c r="E25" s="11" t="s">
        <v>55</v>
      </c>
      <c r="F25" s="1" t="s">
        <v>33</v>
      </c>
      <c r="G25" s="1" t="s">
        <v>34</v>
      </c>
      <c r="H25" s="9">
        <v>38120</v>
      </c>
      <c r="I25" s="9">
        <v>38120</v>
      </c>
      <c r="J25" s="9">
        <v>0</v>
      </c>
      <c r="K25" s="1">
        <f t="shared" si="2"/>
        <v>38120</v>
      </c>
      <c r="L25" s="9">
        <v>8386.4</v>
      </c>
      <c r="M25" s="16">
        <f t="shared" si="3"/>
        <v>46506.400000000001</v>
      </c>
      <c r="N25" s="13">
        <v>1</v>
      </c>
      <c r="O25" s="13">
        <v>1</v>
      </c>
      <c r="P25" s="13">
        <v>1</v>
      </c>
      <c r="Q25" s="13">
        <v>1</v>
      </c>
      <c r="R25" s="13">
        <v>1</v>
      </c>
      <c r="T25" s="1">
        <f>K25-'[1]Contracts &amp; Invoices'!R32</f>
        <v>0</v>
      </c>
    </row>
    <row r="26" spans="2:20" x14ac:dyDescent="0.25">
      <c r="B26" s="48">
        <v>22</v>
      </c>
      <c r="C26" s="7">
        <v>45922</v>
      </c>
      <c r="D26" s="17">
        <f t="shared" si="1"/>
        <v>45930</v>
      </c>
      <c r="E26" s="11" t="s">
        <v>56</v>
      </c>
      <c r="F26" s="1" t="s">
        <v>28</v>
      </c>
      <c r="G26" s="1" t="s">
        <v>29</v>
      </c>
      <c r="H26" s="9">
        <v>11426.08695652174</v>
      </c>
      <c r="I26" s="9">
        <v>11426.08695652174</v>
      </c>
      <c r="J26" s="9">
        <v>0</v>
      </c>
      <c r="K26" s="1">
        <f t="shared" si="2"/>
        <v>11426.08695652174</v>
      </c>
      <c r="L26" s="9">
        <v>2513.739130434783</v>
      </c>
      <c r="M26" s="16">
        <f t="shared" si="3"/>
        <v>13939.826086956524</v>
      </c>
      <c r="N26" s="13">
        <v>1</v>
      </c>
      <c r="O26" s="13">
        <v>1</v>
      </c>
      <c r="P26" s="13">
        <v>1</v>
      </c>
      <c r="Q26" s="13">
        <v>1</v>
      </c>
      <c r="R26" s="13">
        <v>1</v>
      </c>
      <c r="T26" s="1">
        <f>K26-'[1]Contracts &amp; Invoices'!R33</f>
        <v>0</v>
      </c>
    </row>
    <row r="27" spans="2:20" x14ac:dyDescent="0.25">
      <c r="B27" s="48">
        <v>23</v>
      </c>
      <c r="C27" s="7">
        <v>45922</v>
      </c>
      <c r="D27" s="17">
        <f t="shared" si="1"/>
        <v>45930</v>
      </c>
      <c r="E27" s="11" t="s">
        <v>56</v>
      </c>
      <c r="F27" s="1" t="s">
        <v>28</v>
      </c>
      <c r="G27" s="1" t="s">
        <v>29</v>
      </c>
      <c r="H27" s="9">
        <v>11426.08695652174</v>
      </c>
      <c r="I27" s="9">
        <v>11426.08695652174</v>
      </c>
      <c r="J27" s="9">
        <v>0</v>
      </c>
      <c r="K27" s="1">
        <f t="shared" si="2"/>
        <v>11426.08695652174</v>
      </c>
      <c r="L27" s="9">
        <v>2513.739130434783</v>
      </c>
      <c r="M27" s="16">
        <f t="shared" si="3"/>
        <v>13939.826086956524</v>
      </c>
      <c r="N27" s="13">
        <v>1</v>
      </c>
      <c r="O27" s="13">
        <v>1</v>
      </c>
      <c r="P27" s="13">
        <v>1</v>
      </c>
      <c r="Q27" s="13">
        <v>1</v>
      </c>
      <c r="R27" s="13">
        <v>1</v>
      </c>
      <c r="T27" s="1">
        <f>K27-'[1]Contracts &amp; Invoices'!R34</f>
        <v>0</v>
      </c>
    </row>
    <row r="28" spans="2:20" x14ac:dyDescent="0.25">
      <c r="B28" s="48">
        <v>24</v>
      </c>
      <c r="C28" s="7">
        <v>45922</v>
      </c>
      <c r="D28" s="17">
        <f t="shared" si="1"/>
        <v>45930</v>
      </c>
      <c r="E28" s="11" t="s">
        <v>56</v>
      </c>
      <c r="F28" s="1" t="s">
        <v>28</v>
      </c>
      <c r="G28" s="1" t="s">
        <v>29</v>
      </c>
      <c r="H28" s="9">
        <v>0</v>
      </c>
      <c r="I28" s="9">
        <v>0</v>
      </c>
      <c r="J28" s="9">
        <v>0</v>
      </c>
      <c r="K28" s="1">
        <f t="shared" si="2"/>
        <v>0</v>
      </c>
      <c r="L28" s="9">
        <v>7.652173913113075E-2</v>
      </c>
      <c r="M28" s="16">
        <f t="shared" si="3"/>
        <v>7.652173913113075E-2</v>
      </c>
      <c r="N28" s="13">
        <v>1</v>
      </c>
      <c r="O28" s="13">
        <v>1</v>
      </c>
      <c r="P28" s="13">
        <v>1</v>
      </c>
      <c r="Q28" s="13">
        <v>1</v>
      </c>
      <c r="R28" s="13">
        <v>1</v>
      </c>
      <c r="T28" s="1">
        <f>K28-'[1]Contracts &amp; Invoices'!R35</f>
        <v>0</v>
      </c>
    </row>
    <row r="29" spans="2:20" x14ac:dyDescent="0.25">
      <c r="B29" s="48">
        <v>25</v>
      </c>
      <c r="C29" s="7">
        <v>45922</v>
      </c>
      <c r="D29" s="17">
        <f t="shared" si="1"/>
        <v>45930</v>
      </c>
      <c r="E29" s="11" t="s">
        <v>56</v>
      </c>
      <c r="F29" s="1" t="s">
        <v>28</v>
      </c>
      <c r="G29" s="1" t="s">
        <v>30</v>
      </c>
      <c r="H29" s="9">
        <v>3130.4347826086955</v>
      </c>
      <c r="I29" s="9">
        <v>3130.4347826086955</v>
      </c>
      <c r="J29" s="9">
        <v>0</v>
      </c>
      <c r="K29" s="1">
        <f t="shared" si="2"/>
        <v>3130.4347826086955</v>
      </c>
      <c r="L29" s="9">
        <v>688.695652173913</v>
      </c>
      <c r="M29" s="16">
        <f t="shared" si="3"/>
        <v>3819.1304347826085</v>
      </c>
      <c r="N29" s="13">
        <v>1</v>
      </c>
      <c r="O29" s="13">
        <v>1</v>
      </c>
      <c r="P29" s="13">
        <v>1</v>
      </c>
      <c r="Q29" s="13">
        <v>1</v>
      </c>
      <c r="R29" s="13">
        <v>1</v>
      </c>
      <c r="T29" s="1">
        <f>K29-'[1]Contracts &amp; Invoices'!R36</f>
        <v>0</v>
      </c>
    </row>
    <row r="30" spans="2:20" x14ac:dyDescent="0.25">
      <c r="B30" s="48">
        <v>26</v>
      </c>
      <c r="C30" s="7">
        <v>45922</v>
      </c>
      <c r="D30" s="17">
        <f t="shared" si="1"/>
        <v>45930</v>
      </c>
      <c r="E30" s="11" t="s">
        <v>56</v>
      </c>
      <c r="F30" s="1" t="s">
        <v>28</v>
      </c>
      <c r="G30" s="1" t="s">
        <v>30</v>
      </c>
      <c r="H30" s="9">
        <v>3130.4347826086955</v>
      </c>
      <c r="I30" s="9">
        <v>3130.4347826086955</v>
      </c>
      <c r="J30" s="9">
        <v>0</v>
      </c>
      <c r="K30" s="1">
        <f t="shared" si="2"/>
        <v>3130.4347826086955</v>
      </c>
      <c r="L30" s="9">
        <v>688.695652173913</v>
      </c>
      <c r="M30" s="16">
        <f t="shared" si="3"/>
        <v>3819.1304347826085</v>
      </c>
      <c r="N30" s="13">
        <v>1</v>
      </c>
      <c r="O30" s="13">
        <v>1</v>
      </c>
      <c r="P30" s="13">
        <v>1</v>
      </c>
      <c r="Q30" s="13">
        <v>1</v>
      </c>
      <c r="R30" s="13">
        <v>1</v>
      </c>
      <c r="T30" s="1">
        <f>K30-'[1]Contracts &amp; Invoices'!R37</f>
        <v>0</v>
      </c>
    </row>
    <row r="31" spans="2:20" x14ac:dyDescent="0.25">
      <c r="B31" s="48">
        <v>27</v>
      </c>
      <c r="C31" s="7">
        <v>45922</v>
      </c>
      <c r="D31" s="17">
        <f t="shared" si="1"/>
        <v>45930</v>
      </c>
      <c r="E31" s="11" t="s">
        <v>56</v>
      </c>
      <c r="F31" s="1" t="s">
        <v>28</v>
      </c>
      <c r="G31" s="1" t="s">
        <v>30</v>
      </c>
      <c r="H31" s="9">
        <v>0</v>
      </c>
      <c r="I31" s="9">
        <v>0</v>
      </c>
      <c r="J31" s="9">
        <v>0</v>
      </c>
      <c r="K31" s="1">
        <f t="shared" si="2"/>
        <v>0</v>
      </c>
      <c r="L31" s="9">
        <v>2513.739130434783</v>
      </c>
      <c r="M31" s="16">
        <f t="shared" si="3"/>
        <v>2513.739130434783</v>
      </c>
      <c r="N31" s="13">
        <v>1</v>
      </c>
      <c r="O31" s="13">
        <v>1</v>
      </c>
      <c r="P31" s="13">
        <v>1</v>
      </c>
      <c r="Q31" s="13">
        <v>1</v>
      </c>
      <c r="R31" s="13">
        <v>1</v>
      </c>
      <c r="T31" s="1">
        <f>K31-'[1]Contracts &amp; Invoices'!R38</f>
        <v>0</v>
      </c>
    </row>
    <row r="32" spans="2:20" x14ac:dyDescent="0.25">
      <c r="B32" s="48">
        <v>28</v>
      </c>
      <c r="C32" s="7">
        <v>45922</v>
      </c>
      <c r="D32" s="17">
        <f t="shared" si="1"/>
        <v>45930</v>
      </c>
      <c r="E32" s="11" t="s">
        <v>56</v>
      </c>
      <c r="F32" s="1" t="s">
        <v>28</v>
      </c>
      <c r="G32" s="1" t="s">
        <v>31</v>
      </c>
      <c r="H32" s="9">
        <v>84240</v>
      </c>
      <c r="I32" s="9">
        <v>81000</v>
      </c>
      <c r="J32" s="9">
        <v>3240</v>
      </c>
      <c r="K32" s="1">
        <f t="shared" si="2"/>
        <v>84240</v>
      </c>
      <c r="L32" s="9">
        <v>18532.8</v>
      </c>
      <c r="M32" s="16">
        <f t="shared" si="3"/>
        <v>102772.8</v>
      </c>
      <c r="N32" s="13">
        <v>1</v>
      </c>
      <c r="O32" s="13">
        <v>1</v>
      </c>
      <c r="P32" s="13">
        <v>1</v>
      </c>
      <c r="Q32" s="13">
        <v>1</v>
      </c>
      <c r="R32" s="13">
        <v>1</v>
      </c>
      <c r="T32" s="1">
        <f>K32-'[1]Contracts &amp; Invoices'!R39</f>
        <v>0</v>
      </c>
    </row>
    <row r="33" spans="2:20" x14ac:dyDescent="0.25">
      <c r="B33" s="48">
        <v>29</v>
      </c>
      <c r="C33" s="7">
        <v>45922</v>
      </c>
      <c r="D33" s="17">
        <f t="shared" si="1"/>
        <v>45930</v>
      </c>
      <c r="E33" s="11" t="s">
        <v>56</v>
      </c>
      <c r="F33" s="1" t="s">
        <v>28</v>
      </c>
      <c r="G33" s="1" t="s">
        <v>31</v>
      </c>
      <c r="H33" s="9">
        <v>0</v>
      </c>
      <c r="I33" s="9">
        <v>4050</v>
      </c>
      <c r="J33" s="9">
        <v>162</v>
      </c>
      <c r="K33" s="1">
        <f t="shared" si="2"/>
        <v>4212</v>
      </c>
      <c r="L33" s="9">
        <v>926.64</v>
      </c>
      <c r="M33" s="16">
        <f t="shared" si="3"/>
        <v>5138.6400000000003</v>
      </c>
      <c r="N33" s="13">
        <v>1</v>
      </c>
      <c r="O33" s="13">
        <v>1</v>
      </c>
      <c r="P33" s="13">
        <v>1</v>
      </c>
      <c r="Q33" s="13">
        <v>1</v>
      </c>
      <c r="R33" s="13">
        <v>1</v>
      </c>
      <c r="T33" s="1">
        <f>K33-'[1]Contracts &amp; Invoices'!R40</f>
        <v>0</v>
      </c>
    </row>
    <row r="34" spans="2:20" x14ac:dyDescent="0.25">
      <c r="B34" s="48">
        <v>30</v>
      </c>
      <c r="C34" s="7">
        <v>45922</v>
      </c>
      <c r="D34" s="17">
        <f t="shared" si="1"/>
        <v>45930</v>
      </c>
      <c r="E34" s="11" t="s">
        <v>56</v>
      </c>
      <c r="F34" s="1" t="s">
        <v>28</v>
      </c>
      <c r="G34" s="1" t="s">
        <v>57</v>
      </c>
      <c r="H34" s="9">
        <v>869.56521739130437</v>
      </c>
      <c r="I34" s="9">
        <v>869.56521739130437</v>
      </c>
      <c r="J34" s="9">
        <v>0</v>
      </c>
      <c r="K34" s="1">
        <f t="shared" si="2"/>
        <v>869.56521739130437</v>
      </c>
      <c r="L34" s="9">
        <v>191.30434782608697</v>
      </c>
      <c r="M34" s="16">
        <f t="shared" si="3"/>
        <v>1060.8695652173913</v>
      </c>
      <c r="N34" s="13">
        <v>1</v>
      </c>
      <c r="O34" s="13">
        <v>1</v>
      </c>
      <c r="P34" s="13">
        <v>1</v>
      </c>
      <c r="Q34" s="13">
        <v>1</v>
      </c>
      <c r="R34" s="13">
        <v>1</v>
      </c>
      <c r="T34" s="1">
        <f>K34-'[1]Contracts &amp; Invoices'!R41</f>
        <v>0</v>
      </c>
    </row>
    <row r="35" spans="2:20" x14ac:dyDescent="0.25">
      <c r="B35" s="48">
        <v>31</v>
      </c>
      <c r="C35" s="7">
        <v>45922</v>
      </c>
      <c r="D35" s="17">
        <f t="shared" si="1"/>
        <v>45930</v>
      </c>
      <c r="E35" s="11" t="s">
        <v>56</v>
      </c>
      <c r="F35" s="1" t="s">
        <v>28</v>
      </c>
      <c r="G35" s="1" t="s">
        <v>57</v>
      </c>
      <c r="H35" s="9">
        <v>869.56521739130437</v>
      </c>
      <c r="I35" s="9">
        <v>869.56521739130437</v>
      </c>
      <c r="J35" s="9">
        <v>0</v>
      </c>
      <c r="K35" s="1">
        <f t="shared" si="2"/>
        <v>869.56521739130437</v>
      </c>
      <c r="L35" s="9">
        <v>191.30434782608697</v>
      </c>
      <c r="M35" s="16">
        <f t="shared" si="3"/>
        <v>1060.8695652173913</v>
      </c>
      <c r="N35" s="13">
        <v>1</v>
      </c>
      <c r="O35" s="13">
        <v>1</v>
      </c>
      <c r="P35" s="13">
        <v>1</v>
      </c>
      <c r="Q35" s="13">
        <v>1</v>
      </c>
      <c r="R35" s="13">
        <v>1</v>
      </c>
      <c r="T35" s="1">
        <f>K35-'[1]Contracts &amp; Invoices'!R42</f>
        <v>0</v>
      </c>
    </row>
    <row r="36" spans="2:20" x14ac:dyDescent="0.25">
      <c r="B36" s="48">
        <v>32</v>
      </c>
      <c r="C36" s="7">
        <v>45922</v>
      </c>
      <c r="D36" s="17">
        <f t="shared" si="1"/>
        <v>45930</v>
      </c>
      <c r="E36" s="11" t="s">
        <v>56</v>
      </c>
      <c r="F36" s="1" t="s">
        <v>28</v>
      </c>
      <c r="G36" s="1" t="s">
        <v>57</v>
      </c>
      <c r="H36" s="9">
        <v>869.56521739130437</v>
      </c>
      <c r="I36" s="9">
        <v>869.56521739130437</v>
      </c>
      <c r="J36" s="9">
        <v>0</v>
      </c>
      <c r="K36" s="1">
        <f t="shared" si="2"/>
        <v>869.56521739130437</v>
      </c>
      <c r="L36" s="9">
        <v>191.30434782608697</v>
      </c>
      <c r="M36" s="16">
        <f t="shared" si="3"/>
        <v>1060.8695652173913</v>
      </c>
      <c r="N36" s="13">
        <v>1</v>
      </c>
      <c r="O36" s="13">
        <v>1</v>
      </c>
      <c r="P36" s="13">
        <v>1</v>
      </c>
      <c r="Q36" s="13">
        <v>1</v>
      </c>
      <c r="R36" s="13">
        <v>1</v>
      </c>
      <c r="T36" s="1">
        <f>K36-'[1]Contracts &amp; Invoices'!R43</f>
        <v>0</v>
      </c>
    </row>
    <row r="37" spans="2:20" x14ac:dyDescent="0.25">
      <c r="B37" s="48">
        <v>33</v>
      </c>
      <c r="C37" s="7">
        <v>45930</v>
      </c>
      <c r="D37" s="17">
        <f t="shared" si="1"/>
        <v>45930</v>
      </c>
      <c r="E37" s="11" t="s">
        <v>58</v>
      </c>
      <c r="F37" s="1" t="s">
        <v>28</v>
      </c>
      <c r="G37" s="1" t="s">
        <v>29</v>
      </c>
      <c r="H37" s="9">
        <v>11426.08695652174</v>
      </c>
      <c r="I37" s="9">
        <v>11426.08695652174</v>
      </c>
      <c r="J37" s="9">
        <v>0</v>
      </c>
      <c r="K37" s="1">
        <f t="shared" si="2"/>
        <v>11426.08695652174</v>
      </c>
      <c r="L37" s="9">
        <v>2513.739130434783</v>
      </c>
      <c r="M37" s="16">
        <f t="shared" si="3"/>
        <v>13939.826086956524</v>
      </c>
      <c r="N37" s="13">
        <v>1</v>
      </c>
      <c r="O37" s="13">
        <v>1</v>
      </c>
      <c r="P37" s="13">
        <v>1</v>
      </c>
      <c r="Q37" s="13">
        <v>1</v>
      </c>
      <c r="R37" s="13">
        <v>1</v>
      </c>
      <c r="T37" s="1">
        <f>K37-'[1]Contracts &amp; Invoices'!R44</f>
        <v>0</v>
      </c>
    </row>
    <row r="38" spans="2:20" x14ac:dyDescent="0.25">
      <c r="B38" s="48">
        <v>34</v>
      </c>
      <c r="C38" s="7">
        <v>45930</v>
      </c>
      <c r="D38" s="17">
        <f t="shared" si="1"/>
        <v>45930</v>
      </c>
      <c r="E38" s="11" t="s">
        <v>58</v>
      </c>
      <c r="F38" s="1" t="s">
        <v>28</v>
      </c>
      <c r="G38" s="1" t="s">
        <v>30</v>
      </c>
      <c r="H38" s="9">
        <v>3130.4347826086955</v>
      </c>
      <c r="I38" s="9">
        <v>3130.4347826086955</v>
      </c>
      <c r="J38" s="9">
        <v>0</v>
      </c>
      <c r="K38" s="1">
        <f t="shared" si="2"/>
        <v>3130.4347826086955</v>
      </c>
      <c r="L38" s="9">
        <v>688.695652173913</v>
      </c>
      <c r="M38" s="16">
        <f t="shared" si="3"/>
        <v>3819.1304347826085</v>
      </c>
      <c r="N38" s="13">
        <v>1</v>
      </c>
      <c r="O38" s="13">
        <v>1</v>
      </c>
      <c r="P38" s="13">
        <v>1</v>
      </c>
      <c r="Q38" s="13">
        <v>1</v>
      </c>
      <c r="R38" s="13">
        <v>1</v>
      </c>
      <c r="T38" s="1">
        <f>K38-'[1]Contracts &amp; Invoices'!R45</f>
        <v>0</v>
      </c>
    </row>
    <row r="39" spans="2:20" x14ac:dyDescent="0.25">
      <c r="B39" s="48">
        <v>35</v>
      </c>
      <c r="C39" s="7">
        <v>45930</v>
      </c>
      <c r="D39" s="17">
        <f t="shared" si="1"/>
        <v>45930</v>
      </c>
      <c r="E39" s="11" t="s">
        <v>58</v>
      </c>
      <c r="F39" s="1" t="s">
        <v>28</v>
      </c>
      <c r="G39" s="1" t="s">
        <v>31</v>
      </c>
      <c r="H39" s="9">
        <v>84240</v>
      </c>
      <c r="I39" s="9">
        <v>81000</v>
      </c>
      <c r="J39" s="9">
        <v>3240</v>
      </c>
      <c r="K39" s="1">
        <f t="shared" si="2"/>
        <v>84240</v>
      </c>
      <c r="L39" s="9">
        <v>18532.8</v>
      </c>
      <c r="M39" s="16">
        <f t="shared" si="3"/>
        <v>102772.8</v>
      </c>
      <c r="N39" s="13">
        <v>1</v>
      </c>
      <c r="O39" s="13">
        <v>1</v>
      </c>
      <c r="P39" s="13">
        <v>1</v>
      </c>
      <c r="Q39" s="13">
        <v>1</v>
      </c>
      <c r="R39" s="13">
        <v>1</v>
      </c>
      <c r="T39" s="1">
        <f>K39-'[1]Contracts &amp; Invoices'!R46</f>
        <v>0</v>
      </c>
    </row>
    <row r="40" spans="2:20" x14ac:dyDescent="0.25">
      <c r="B40" s="48">
        <v>36</v>
      </c>
      <c r="C40" s="7">
        <v>45930</v>
      </c>
      <c r="D40" s="17">
        <f t="shared" si="1"/>
        <v>45930</v>
      </c>
      <c r="E40" s="11" t="s">
        <v>58</v>
      </c>
      <c r="F40" s="1" t="s">
        <v>28</v>
      </c>
      <c r="G40" s="1" t="s">
        <v>57</v>
      </c>
      <c r="H40" s="9">
        <v>869.56521739130437</v>
      </c>
      <c r="I40" s="9">
        <v>869.56521739130437</v>
      </c>
      <c r="J40" s="9">
        <v>0</v>
      </c>
      <c r="K40" s="1">
        <f t="shared" si="2"/>
        <v>869.56521739130437</v>
      </c>
      <c r="L40" s="9">
        <v>191.30434782608697</v>
      </c>
      <c r="M40" s="16">
        <f t="shared" si="3"/>
        <v>1060.8695652173913</v>
      </c>
      <c r="N40" s="13">
        <v>1</v>
      </c>
      <c r="O40" s="13">
        <v>1</v>
      </c>
      <c r="P40" s="13">
        <v>1</v>
      </c>
      <c r="Q40" s="13">
        <v>1</v>
      </c>
      <c r="R40" s="13">
        <v>1</v>
      </c>
      <c r="T40" s="1">
        <f>K40-'[1]Contracts &amp; Invoices'!R47</f>
        <v>0</v>
      </c>
    </row>
    <row r="41" spans="2:20" x14ac:dyDescent="0.25">
      <c r="B41" s="48">
        <v>37</v>
      </c>
      <c r="C41" s="7">
        <v>45930</v>
      </c>
      <c r="D41" s="17">
        <f t="shared" si="1"/>
        <v>45930</v>
      </c>
      <c r="E41" s="11" t="s">
        <v>58</v>
      </c>
      <c r="F41" s="1" t="s">
        <v>28</v>
      </c>
      <c r="G41" s="1" t="s">
        <v>36</v>
      </c>
      <c r="H41" s="9">
        <v>0</v>
      </c>
      <c r="I41" s="9">
        <v>125</v>
      </c>
      <c r="J41" s="9">
        <v>5</v>
      </c>
      <c r="K41" s="1">
        <f t="shared" si="2"/>
        <v>130</v>
      </c>
      <c r="L41" s="9">
        <v>28.6</v>
      </c>
      <c r="M41" s="16">
        <f t="shared" si="3"/>
        <v>158.6</v>
      </c>
      <c r="N41" s="13">
        <v>1</v>
      </c>
      <c r="O41" s="13">
        <v>1</v>
      </c>
      <c r="P41" s="13">
        <v>1</v>
      </c>
      <c r="Q41" s="13">
        <v>1</v>
      </c>
      <c r="R41" s="13">
        <v>1</v>
      </c>
      <c r="T41" s="1">
        <f>K41-'[1]Contracts &amp; Invoices'!R48</f>
        <v>0</v>
      </c>
    </row>
    <row r="42" spans="2:20" x14ac:dyDescent="0.25">
      <c r="B42" s="48">
        <v>38</v>
      </c>
      <c r="C42" s="7">
        <v>45930</v>
      </c>
      <c r="D42" s="17">
        <f t="shared" si="1"/>
        <v>45930</v>
      </c>
      <c r="E42" s="11" t="s">
        <v>58</v>
      </c>
      <c r="F42" s="1" t="s">
        <v>28</v>
      </c>
      <c r="G42" s="1" t="s">
        <v>36</v>
      </c>
      <c r="H42" s="9">
        <v>10400</v>
      </c>
      <c r="I42" s="9">
        <v>10000</v>
      </c>
      <c r="J42" s="9">
        <v>400</v>
      </c>
      <c r="K42" s="1">
        <f t="shared" si="2"/>
        <v>10400</v>
      </c>
      <c r="L42" s="9">
        <v>2288</v>
      </c>
      <c r="M42" s="16">
        <f t="shared" si="3"/>
        <v>12688</v>
      </c>
      <c r="N42" s="13">
        <v>1</v>
      </c>
      <c r="O42" s="13">
        <v>1</v>
      </c>
      <c r="P42" s="13">
        <v>1</v>
      </c>
      <c r="Q42" s="13">
        <v>1</v>
      </c>
      <c r="R42" s="13">
        <v>1</v>
      </c>
      <c r="T42" s="1">
        <f>K42-'[1]Contracts &amp; Invoices'!R49</f>
        <v>0</v>
      </c>
    </row>
    <row r="43" spans="2:20" x14ac:dyDescent="0.25">
      <c r="B43" s="48">
        <v>39</v>
      </c>
      <c r="C43" s="7">
        <v>45930</v>
      </c>
      <c r="D43" s="17">
        <f t="shared" si="1"/>
        <v>45930</v>
      </c>
      <c r="E43" s="11" t="s">
        <v>59</v>
      </c>
      <c r="F43" s="1" t="s">
        <v>60</v>
      </c>
      <c r="G43" s="1" t="s">
        <v>52</v>
      </c>
      <c r="H43" s="9">
        <v>16716.28</v>
      </c>
      <c r="I43" s="9">
        <v>16716.28</v>
      </c>
      <c r="J43" s="9">
        <v>0</v>
      </c>
      <c r="K43" s="1">
        <f t="shared" si="2"/>
        <v>16716.28</v>
      </c>
      <c r="L43" s="9">
        <v>3677.5816</v>
      </c>
      <c r="M43" s="16">
        <f t="shared" si="3"/>
        <v>20393.8616</v>
      </c>
      <c r="N43" s="13">
        <v>1</v>
      </c>
      <c r="O43" s="13">
        <v>1</v>
      </c>
      <c r="P43" s="13">
        <v>1</v>
      </c>
      <c r="Q43" s="13">
        <v>1</v>
      </c>
      <c r="R43" s="13">
        <v>0</v>
      </c>
      <c r="T43" s="1">
        <f>K43-'[1]Contracts &amp; Invoices'!R50</f>
        <v>0</v>
      </c>
    </row>
    <row r="44" spans="2:20" x14ac:dyDescent="0.25">
      <c r="B44" s="48">
        <v>40</v>
      </c>
      <c r="C44" s="8">
        <v>45938</v>
      </c>
      <c r="D44" s="17">
        <f t="shared" si="1"/>
        <v>45961</v>
      </c>
      <c r="E44" s="12">
        <v>3000129</v>
      </c>
      <c r="F44" s="1" t="s">
        <v>41</v>
      </c>
      <c r="G44" s="1" t="s">
        <v>53</v>
      </c>
      <c r="H44" s="9">
        <v>5040</v>
      </c>
      <c r="I44" s="9">
        <v>5040</v>
      </c>
      <c r="J44" s="9">
        <v>0</v>
      </c>
      <c r="K44" s="1">
        <f t="shared" si="2"/>
        <v>5040</v>
      </c>
      <c r="L44" s="14">
        <v>0</v>
      </c>
      <c r="M44" s="16">
        <f t="shared" si="3"/>
        <v>5040</v>
      </c>
      <c r="N44" s="13">
        <v>1</v>
      </c>
      <c r="O44" s="13">
        <v>1</v>
      </c>
      <c r="P44" s="13">
        <v>1</v>
      </c>
      <c r="Q44" s="13">
        <v>1</v>
      </c>
      <c r="R44" s="13">
        <v>0</v>
      </c>
      <c r="T44" s="1">
        <f>K44-'[1]Contracts &amp; Invoices'!R51</f>
        <v>0</v>
      </c>
    </row>
    <row r="45" spans="2:20" x14ac:dyDescent="0.25">
      <c r="B45" s="48">
        <v>41</v>
      </c>
      <c r="C45" s="8">
        <v>45938</v>
      </c>
      <c r="D45" s="17">
        <f t="shared" si="1"/>
        <v>45961</v>
      </c>
      <c r="E45" s="12">
        <v>3000126</v>
      </c>
      <c r="F45" s="1" t="s">
        <v>41</v>
      </c>
      <c r="G45" s="1" t="s">
        <v>53</v>
      </c>
      <c r="H45" s="9">
        <v>720</v>
      </c>
      <c r="I45" s="9">
        <v>720</v>
      </c>
      <c r="J45" s="9">
        <v>0</v>
      </c>
      <c r="K45" s="1">
        <f t="shared" si="2"/>
        <v>720</v>
      </c>
      <c r="L45" s="14">
        <v>0</v>
      </c>
      <c r="M45" s="16">
        <f t="shared" si="3"/>
        <v>720</v>
      </c>
      <c r="N45" s="13">
        <v>1</v>
      </c>
      <c r="O45" s="13">
        <v>1</v>
      </c>
      <c r="P45" s="13">
        <v>1</v>
      </c>
      <c r="Q45" s="13">
        <v>1</v>
      </c>
      <c r="R45" s="13">
        <v>1</v>
      </c>
      <c r="T45" s="1">
        <f>K45-'[1]Contracts &amp; Invoices'!R52</f>
        <v>0</v>
      </c>
    </row>
    <row r="46" spans="2:20" x14ac:dyDescent="0.25">
      <c r="B46" s="48">
        <v>42</v>
      </c>
      <c r="C46" s="7">
        <v>45945</v>
      </c>
      <c r="D46" s="17">
        <f t="shared" si="1"/>
        <v>45961</v>
      </c>
      <c r="E46" s="11" t="s">
        <v>46</v>
      </c>
      <c r="F46" s="1" t="s">
        <v>61</v>
      </c>
      <c r="G46" s="1" t="s">
        <v>48</v>
      </c>
      <c r="H46" s="9">
        <v>16</v>
      </c>
      <c r="I46" s="9">
        <v>16</v>
      </c>
      <c r="J46" s="9">
        <v>0</v>
      </c>
      <c r="K46" s="1">
        <f t="shared" si="2"/>
        <v>16</v>
      </c>
      <c r="L46" s="14">
        <v>0</v>
      </c>
      <c r="M46" s="16">
        <f t="shared" si="3"/>
        <v>16</v>
      </c>
      <c r="N46" s="13">
        <v>1</v>
      </c>
      <c r="O46" s="13">
        <v>1</v>
      </c>
      <c r="P46" s="13">
        <v>1</v>
      </c>
      <c r="Q46" s="13">
        <v>1</v>
      </c>
      <c r="R46" s="13">
        <v>1</v>
      </c>
      <c r="T46" s="1">
        <f>K46-'[1]Contracts &amp; Invoices'!R53</f>
        <v>0</v>
      </c>
    </row>
    <row r="47" spans="2:20" x14ac:dyDescent="0.25">
      <c r="B47" s="48">
        <v>43</v>
      </c>
      <c r="C47" s="8">
        <v>45957</v>
      </c>
      <c r="D47" s="17">
        <f t="shared" si="1"/>
        <v>45961</v>
      </c>
      <c r="E47" s="12">
        <v>3000134</v>
      </c>
      <c r="F47" s="1" t="s">
        <v>41</v>
      </c>
      <c r="G47" s="1" t="s">
        <v>53</v>
      </c>
      <c r="H47" s="9">
        <v>-720</v>
      </c>
      <c r="I47" s="9">
        <v>-720</v>
      </c>
      <c r="J47" s="9">
        <v>0</v>
      </c>
      <c r="K47" s="1">
        <f t="shared" si="2"/>
        <v>-720</v>
      </c>
      <c r="L47" s="14">
        <v>0</v>
      </c>
      <c r="M47" s="16">
        <f t="shared" si="3"/>
        <v>-720</v>
      </c>
      <c r="N47" s="13">
        <v>1</v>
      </c>
      <c r="O47" s="13">
        <v>1</v>
      </c>
      <c r="P47" s="13">
        <v>1</v>
      </c>
      <c r="Q47" s="13">
        <v>1</v>
      </c>
      <c r="R47" s="13">
        <v>1</v>
      </c>
      <c r="T47" s="1">
        <f>K47-'[1]Contracts &amp; Invoices'!R54</f>
        <v>0</v>
      </c>
    </row>
    <row r="48" spans="2:20" x14ac:dyDescent="0.25">
      <c r="B48" s="48">
        <v>44</v>
      </c>
      <c r="C48" s="7">
        <v>45958</v>
      </c>
      <c r="D48" s="17">
        <f t="shared" si="1"/>
        <v>45961</v>
      </c>
      <c r="E48" s="11" t="s">
        <v>46</v>
      </c>
      <c r="F48" s="1" t="s">
        <v>62</v>
      </c>
      <c r="G48" s="1" t="s">
        <v>48</v>
      </c>
      <c r="H48" s="9">
        <v>1056</v>
      </c>
      <c r="I48" s="9">
        <v>1056</v>
      </c>
      <c r="J48" s="9">
        <v>0</v>
      </c>
      <c r="K48" s="1">
        <f t="shared" si="2"/>
        <v>1056</v>
      </c>
      <c r="L48" s="14">
        <v>0</v>
      </c>
      <c r="M48" s="16">
        <f t="shared" si="3"/>
        <v>1056</v>
      </c>
      <c r="N48" s="13">
        <v>1</v>
      </c>
      <c r="O48" s="13">
        <v>1</v>
      </c>
      <c r="P48" s="13">
        <v>1</v>
      </c>
      <c r="Q48" s="13">
        <v>1</v>
      </c>
      <c r="R48" s="13">
        <v>1</v>
      </c>
      <c r="T48" s="1">
        <f>K48-'[1]Contracts &amp; Invoices'!R55</f>
        <v>0</v>
      </c>
    </row>
    <row r="49" spans="2:20" x14ac:dyDescent="0.25">
      <c r="B49" s="48">
        <v>45</v>
      </c>
      <c r="C49" s="7">
        <v>45961</v>
      </c>
      <c r="D49" s="17">
        <f t="shared" si="1"/>
        <v>45961</v>
      </c>
      <c r="E49" s="11" t="s">
        <v>63</v>
      </c>
      <c r="F49" s="1" t="s">
        <v>28</v>
      </c>
      <c r="G49" s="1" t="s">
        <v>29</v>
      </c>
      <c r="H49" s="9">
        <v>11426.08695652174</v>
      </c>
      <c r="I49" s="9">
        <v>11426.08695652174</v>
      </c>
      <c r="J49" s="9">
        <v>0</v>
      </c>
      <c r="K49" s="1">
        <f t="shared" si="2"/>
        <v>11426.08695652174</v>
      </c>
      <c r="L49" s="9">
        <v>2513.739130434783</v>
      </c>
      <c r="M49" s="16">
        <f t="shared" si="3"/>
        <v>13939.826086956524</v>
      </c>
      <c r="N49" s="13">
        <v>1</v>
      </c>
      <c r="O49" s="13">
        <v>1</v>
      </c>
      <c r="P49" s="13">
        <v>1</v>
      </c>
      <c r="Q49" s="13">
        <v>1</v>
      </c>
      <c r="R49" s="13">
        <v>1</v>
      </c>
      <c r="T49" s="1">
        <f>K49-'[1]Contracts &amp; Invoices'!R56</f>
        <v>0</v>
      </c>
    </row>
    <row r="50" spans="2:20" x14ac:dyDescent="0.25">
      <c r="B50" s="48">
        <v>46</v>
      </c>
      <c r="C50" s="7">
        <v>45961</v>
      </c>
      <c r="D50" s="17">
        <f t="shared" si="1"/>
        <v>45961</v>
      </c>
      <c r="E50" s="11" t="s">
        <v>63</v>
      </c>
      <c r="F50" s="1" t="s">
        <v>28</v>
      </c>
      <c r="G50" s="1" t="s">
        <v>30</v>
      </c>
      <c r="H50" s="9">
        <v>3130.4347826086955</v>
      </c>
      <c r="I50" s="9">
        <v>3130.4347826086955</v>
      </c>
      <c r="J50" s="9">
        <v>0</v>
      </c>
      <c r="K50" s="1">
        <f t="shared" si="2"/>
        <v>3130.4347826086955</v>
      </c>
      <c r="L50" s="9">
        <v>688.695652173913</v>
      </c>
      <c r="M50" s="16">
        <f t="shared" si="3"/>
        <v>3819.1304347826085</v>
      </c>
      <c r="N50" s="13">
        <v>1</v>
      </c>
      <c r="O50" s="13">
        <v>1</v>
      </c>
      <c r="P50" s="13">
        <v>1</v>
      </c>
      <c r="Q50" s="13">
        <v>1</v>
      </c>
      <c r="R50" s="13">
        <v>1</v>
      </c>
      <c r="T50" s="1">
        <f>K50-'[1]Contracts &amp; Invoices'!R57</f>
        <v>0</v>
      </c>
    </row>
    <row r="51" spans="2:20" x14ac:dyDescent="0.25">
      <c r="B51" s="48">
        <v>47</v>
      </c>
      <c r="C51" s="7">
        <v>45961</v>
      </c>
      <c r="D51" s="17">
        <f t="shared" si="1"/>
        <v>45961</v>
      </c>
      <c r="E51" s="11" t="s">
        <v>63</v>
      </c>
      <c r="F51" s="1" t="s">
        <v>28</v>
      </c>
      <c r="G51" s="1" t="s">
        <v>57</v>
      </c>
      <c r="H51" s="9">
        <v>869.56521739130437</v>
      </c>
      <c r="I51" s="9">
        <v>869.56521739130437</v>
      </c>
      <c r="J51" s="9">
        <v>0</v>
      </c>
      <c r="K51" s="1">
        <f t="shared" si="2"/>
        <v>869.56521739130437</v>
      </c>
      <c r="L51" s="9">
        <v>191.30434782608697</v>
      </c>
      <c r="M51" s="16">
        <f t="shared" si="3"/>
        <v>1060.8695652173913</v>
      </c>
      <c r="N51" s="13">
        <v>1</v>
      </c>
      <c r="O51" s="13">
        <v>1</v>
      </c>
      <c r="P51" s="13">
        <v>1</v>
      </c>
      <c r="Q51" s="13">
        <v>1</v>
      </c>
      <c r="R51" s="13">
        <v>1</v>
      </c>
      <c r="T51" s="1">
        <f>K51-'[1]Contracts &amp; Invoices'!R58</f>
        <v>0</v>
      </c>
    </row>
    <row r="52" spans="2:20" x14ac:dyDescent="0.25">
      <c r="B52" s="48">
        <v>48</v>
      </c>
      <c r="C52" s="8">
        <v>45965</v>
      </c>
      <c r="D52" s="17">
        <f t="shared" si="1"/>
        <v>45991</v>
      </c>
      <c r="E52" s="12">
        <v>3000143</v>
      </c>
      <c r="F52" s="1" t="s">
        <v>41</v>
      </c>
      <c r="G52" s="1" t="s">
        <v>53</v>
      </c>
      <c r="H52" s="9">
        <v>1680</v>
      </c>
      <c r="I52" s="9">
        <v>1680</v>
      </c>
      <c r="J52" s="9">
        <v>0</v>
      </c>
      <c r="K52" s="1">
        <f t="shared" si="2"/>
        <v>1680</v>
      </c>
      <c r="L52" s="9">
        <v>0</v>
      </c>
      <c r="M52" s="16">
        <f t="shared" si="3"/>
        <v>1680</v>
      </c>
      <c r="N52" s="13">
        <v>1</v>
      </c>
      <c r="O52" s="13">
        <v>1</v>
      </c>
      <c r="P52" s="13">
        <v>1</v>
      </c>
      <c r="Q52" s="13">
        <v>1</v>
      </c>
      <c r="R52" s="13">
        <v>1</v>
      </c>
      <c r="T52" s="1">
        <f>K52-'[1]Contracts &amp; Invoices'!R59</f>
        <v>0</v>
      </c>
    </row>
    <row r="53" spans="2:20" x14ac:dyDescent="0.25">
      <c r="B53" s="48">
        <v>49</v>
      </c>
      <c r="C53" s="8">
        <v>45974</v>
      </c>
      <c r="D53" s="17">
        <f t="shared" si="1"/>
        <v>45991</v>
      </c>
      <c r="E53" s="11" t="s">
        <v>64</v>
      </c>
      <c r="F53" s="1" t="s">
        <v>65</v>
      </c>
      <c r="G53" s="1" t="s">
        <v>66</v>
      </c>
      <c r="H53" s="9">
        <v>5430</v>
      </c>
      <c r="I53" s="9">
        <v>5430</v>
      </c>
      <c r="J53" s="9">
        <v>0</v>
      </c>
      <c r="K53" s="1">
        <f t="shared" si="2"/>
        <v>5430</v>
      </c>
      <c r="L53" s="9">
        <v>1194.5999999999999</v>
      </c>
      <c r="M53" s="16">
        <f t="shared" si="3"/>
        <v>6624.6</v>
      </c>
      <c r="N53" s="13">
        <v>1</v>
      </c>
      <c r="O53" s="13">
        <v>1</v>
      </c>
      <c r="P53" s="13">
        <v>1</v>
      </c>
      <c r="Q53" s="13">
        <v>1</v>
      </c>
      <c r="R53" s="13">
        <v>1</v>
      </c>
      <c r="T53" s="1">
        <f>K53-'[1]Contracts &amp; Invoices'!R60</f>
        <v>0</v>
      </c>
    </row>
    <row r="54" spans="2:20" x14ac:dyDescent="0.25">
      <c r="B54" s="48">
        <v>50</v>
      </c>
      <c r="C54" s="8">
        <v>45979</v>
      </c>
      <c r="D54" s="17">
        <f t="shared" si="1"/>
        <v>45991</v>
      </c>
      <c r="E54" s="11" t="s">
        <v>67</v>
      </c>
      <c r="F54" s="1" t="s">
        <v>51</v>
      </c>
      <c r="G54" s="1" t="s">
        <v>66</v>
      </c>
      <c r="H54" s="9">
        <v>6122</v>
      </c>
      <c r="I54" s="9">
        <v>6122</v>
      </c>
      <c r="J54" s="9">
        <v>0</v>
      </c>
      <c r="K54" s="1">
        <f t="shared" si="2"/>
        <v>6122</v>
      </c>
      <c r="L54" s="9">
        <v>1346.84</v>
      </c>
      <c r="M54" s="16">
        <f t="shared" si="3"/>
        <v>7468.84</v>
      </c>
      <c r="N54" s="13">
        <v>1</v>
      </c>
      <c r="O54" s="13">
        <v>1</v>
      </c>
      <c r="P54" s="13">
        <v>1</v>
      </c>
      <c r="Q54" s="13">
        <v>1</v>
      </c>
      <c r="R54" s="13">
        <v>0</v>
      </c>
      <c r="T54" s="1">
        <f>K54-'[1]Contracts &amp; Invoices'!R61</f>
        <v>0</v>
      </c>
    </row>
    <row r="55" spans="2:20" x14ac:dyDescent="0.25">
      <c r="B55" s="48">
        <v>51</v>
      </c>
      <c r="C55" s="7">
        <v>45980</v>
      </c>
      <c r="D55" s="17">
        <f t="shared" si="1"/>
        <v>45991</v>
      </c>
      <c r="E55" s="11" t="s">
        <v>46</v>
      </c>
      <c r="F55" s="1" t="s">
        <v>62</v>
      </c>
      <c r="G55" s="1" t="s">
        <v>48</v>
      </c>
      <c r="H55" s="9">
        <v>278</v>
      </c>
      <c r="I55" s="9">
        <v>278</v>
      </c>
      <c r="J55" s="9">
        <v>0</v>
      </c>
      <c r="K55" s="1">
        <f t="shared" si="2"/>
        <v>278</v>
      </c>
      <c r="L55" s="9">
        <v>0</v>
      </c>
      <c r="M55" s="16">
        <f t="shared" si="3"/>
        <v>278</v>
      </c>
      <c r="N55" s="13">
        <v>1</v>
      </c>
      <c r="O55" s="13">
        <v>1</v>
      </c>
      <c r="P55" s="13">
        <v>1</v>
      </c>
      <c r="Q55" s="13">
        <v>1</v>
      </c>
      <c r="R55" s="13">
        <v>1</v>
      </c>
      <c r="T55" s="1">
        <f>K55-'[1]Contracts &amp; Invoices'!R62</f>
        <v>0</v>
      </c>
    </row>
    <row r="56" spans="2:20" x14ac:dyDescent="0.25">
      <c r="B56" s="48">
        <v>52</v>
      </c>
      <c r="C56" s="7">
        <v>45980</v>
      </c>
      <c r="D56" s="17">
        <f t="shared" si="1"/>
        <v>45991</v>
      </c>
      <c r="E56" s="11" t="s">
        <v>46</v>
      </c>
      <c r="F56" s="1" t="s">
        <v>62</v>
      </c>
      <c r="G56" s="1" t="s">
        <v>48</v>
      </c>
      <c r="H56" s="9">
        <v>30</v>
      </c>
      <c r="I56" s="9">
        <v>30</v>
      </c>
      <c r="J56" s="9">
        <v>0</v>
      </c>
      <c r="K56" s="1">
        <f t="shared" si="2"/>
        <v>30</v>
      </c>
      <c r="L56" s="9">
        <v>0</v>
      </c>
      <c r="M56" s="16">
        <f t="shared" si="3"/>
        <v>30</v>
      </c>
      <c r="N56" s="13">
        <v>1</v>
      </c>
      <c r="O56" s="13">
        <v>1</v>
      </c>
      <c r="P56" s="13">
        <v>1</v>
      </c>
      <c r="Q56" s="13">
        <v>1</v>
      </c>
      <c r="R56" s="13">
        <v>1</v>
      </c>
      <c r="T56" s="1">
        <f>K56-'[1]Contracts &amp; Invoices'!R63</f>
        <v>0</v>
      </c>
    </row>
    <row r="57" spans="2:20" x14ac:dyDescent="0.25">
      <c r="B57" s="48">
        <v>53</v>
      </c>
      <c r="C57" s="7">
        <v>45989</v>
      </c>
      <c r="D57" s="17">
        <f t="shared" si="1"/>
        <v>45991</v>
      </c>
      <c r="E57" s="11" t="s">
        <v>68</v>
      </c>
      <c r="F57" s="1" t="s">
        <v>33</v>
      </c>
      <c r="G57" s="1" t="s">
        <v>34</v>
      </c>
      <c r="H57" s="9">
        <v>9530</v>
      </c>
      <c r="I57" s="9">
        <v>9530</v>
      </c>
      <c r="J57" s="9">
        <v>0</v>
      </c>
      <c r="K57" s="1">
        <f t="shared" si="2"/>
        <v>9530</v>
      </c>
      <c r="L57" s="9">
        <v>2096.6</v>
      </c>
      <c r="M57" s="16">
        <f t="shared" si="3"/>
        <v>11626.6</v>
      </c>
      <c r="N57" s="13">
        <v>1</v>
      </c>
      <c r="O57" s="13">
        <v>1</v>
      </c>
      <c r="P57" s="13">
        <v>1</v>
      </c>
      <c r="Q57" s="13">
        <v>1</v>
      </c>
      <c r="R57" s="13">
        <v>1</v>
      </c>
      <c r="T57" s="1">
        <f>K57-'[1]Contracts &amp; Invoices'!R64</f>
        <v>0</v>
      </c>
    </row>
    <row r="58" spans="2:20" x14ac:dyDescent="0.25">
      <c r="B58" s="48">
        <v>54</v>
      </c>
      <c r="C58" s="7">
        <v>45989</v>
      </c>
      <c r="D58" s="17">
        <f t="shared" si="1"/>
        <v>45991</v>
      </c>
      <c r="E58" s="11" t="s">
        <v>68</v>
      </c>
      <c r="F58" s="1" t="s">
        <v>28</v>
      </c>
      <c r="G58" s="1" t="s">
        <v>29</v>
      </c>
      <c r="H58" s="9">
        <v>11426.08695652174</v>
      </c>
      <c r="I58" s="9">
        <v>11426.08695652174</v>
      </c>
      <c r="J58" s="9">
        <v>0</v>
      </c>
      <c r="K58" s="1">
        <f t="shared" si="2"/>
        <v>11426.08695652174</v>
      </c>
      <c r="L58" s="9">
        <v>2513.739130434783</v>
      </c>
      <c r="M58" s="16">
        <f t="shared" si="3"/>
        <v>13939.826086956524</v>
      </c>
      <c r="N58" s="13">
        <v>1</v>
      </c>
      <c r="O58" s="13">
        <v>1</v>
      </c>
      <c r="P58" s="13">
        <v>1</v>
      </c>
      <c r="Q58" s="13">
        <v>1</v>
      </c>
      <c r="R58" s="13">
        <v>1</v>
      </c>
      <c r="T58" s="1">
        <f>K58-'[1]Contracts &amp; Invoices'!R65</f>
        <v>0</v>
      </c>
    </row>
    <row r="59" spans="2:20" x14ac:dyDescent="0.25">
      <c r="B59" s="48">
        <v>55</v>
      </c>
      <c r="C59" s="7">
        <v>45989</v>
      </c>
      <c r="D59" s="17">
        <f t="shared" si="1"/>
        <v>45991</v>
      </c>
      <c r="E59" s="11" t="s">
        <v>68</v>
      </c>
      <c r="F59" s="1" t="s">
        <v>28</v>
      </c>
      <c r="G59" s="1" t="s">
        <v>30</v>
      </c>
      <c r="H59" s="9">
        <v>3130.4347826086955</v>
      </c>
      <c r="I59" s="9">
        <v>3130.4347826086955</v>
      </c>
      <c r="J59" s="9">
        <v>0</v>
      </c>
      <c r="K59" s="1">
        <f t="shared" si="2"/>
        <v>3130.4347826086955</v>
      </c>
      <c r="L59" s="9">
        <v>688.695652173913</v>
      </c>
      <c r="M59" s="16">
        <f t="shared" si="3"/>
        <v>3819.1304347826085</v>
      </c>
      <c r="N59" s="13">
        <v>1</v>
      </c>
      <c r="O59" s="13">
        <v>1</v>
      </c>
      <c r="P59" s="13">
        <v>1</v>
      </c>
      <c r="Q59" s="13">
        <v>1</v>
      </c>
      <c r="R59" s="13">
        <v>1</v>
      </c>
      <c r="T59" s="1">
        <f>K59-'[1]Contracts &amp; Invoices'!R66</f>
        <v>0</v>
      </c>
    </row>
    <row r="60" spans="2:20" x14ac:dyDescent="0.25">
      <c r="B60" s="48">
        <v>56</v>
      </c>
      <c r="C60" s="7">
        <v>45989</v>
      </c>
      <c r="D60" s="17">
        <f t="shared" si="1"/>
        <v>45991</v>
      </c>
      <c r="E60" s="11" t="s">
        <v>68</v>
      </c>
      <c r="F60" s="1" t="s">
        <v>28</v>
      </c>
      <c r="G60" s="1" t="s">
        <v>69</v>
      </c>
      <c r="H60" s="9">
        <v>9360</v>
      </c>
      <c r="I60" s="9">
        <v>9000</v>
      </c>
      <c r="J60" s="9">
        <v>360</v>
      </c>
      <c r="K60" s="1">
        <f t="shared" si="2"/>
        <v>9360</v>
      </c>
      <c r="L60" s="9">
        <v>2059.1999999999998</v>
      </c>
      <c r="M60" s="16">
        <f t="shared" si="3"/>
        <v>11419.2</v>
      </c>
      <c r="N60" s="13">
        <v>1</v>
      </c>
      <c r="O60" s="13">
        <v>1</v>
      </c>
      <c r="P60" s="13">
        <v>1</v>
      </c>
      <c r="Q60" s="13">
        <v>1</v>
      </c>
      <c r="R60" s="13">
        <v>1</v>
      </c>
      <c r="T60" s="1">
        <f>K60-'[1]Contracts &amp; Invoices'!R67</f>
        <v>0</v>
      </c>
    </row>
    <row r="61" spans="2:20" x14ac:dyDescent="0.25">
      <c r="B61" s="48">
        <v>57</v>
      </c>
      <c r="C61" s="7">
        <v>45989</v>
      </c>
      <c r="D61" s="17">
        <f t="shared" si="1"/>
        <v>45991</v>
      </c>
      <c r="E61" s="11" t="s">
        <v>68</v>
      </c>
      <c r="F61" s="1" t="s">
        <v>28</v>
      </c>
      <c r="G61" s="1" t="s">
        <v>70</v>
      </c>
      <c r="H61" s="9">
        <v>6240</v>
      </c>
      <c r="I61" s="9">
        <v>6000</v>
      </c>
      <c r="J61" s="9">
        <v>240</v>
      </c>
      <c r="K61" s="1">
        <f t="shared" si="2"/>
        <v>6240</v>
      </c>
      <c r="L61" s="9">
        <v>1372.8</v>
      </c>
      <c r="M61" s="16">
        <f t="shared" si="3"/>
        <v>7612.8</v>
      </c>
      <c r="N61" s="13">
        <v>1</v>
      </c>
      <c r="O61" s="13">
        <v>1</v>
      </c>
      <c r="P61" s="13">
        <v>1</v>
      </c>
      <c r="Q61" s="13">
        <v>1</v>
      </c>
      <c r="R61" s="13">
        <v>1</v>
      </c>
      <c r="T61" s="1">
        <f>K61-'[1]Contracts &amp; Invoices'!R68</f>
        <v>0</v>
      </c>
    </row>
    <row r="62" spans="2:20" x14ac:dyDescent="0.25">
      <c r="B62" s="48">
        <v>58</v>
      </c>
      <c r="C62" s="7">
        <v>45989</v>
      </c>
      <c r="D62" s="17">
        <f t="shared" si="1"/>
        <v>45991</v>
      </c>
      <c r="E62" s="11" t="s">
        <v>68</v>
      </c>
      <c r="F62" s="1" t="s">
        <v>28</v>
      </c>
      <c r="G62" s="1" t="s">
        <v>57</v>
      </c>
      <c r="H62" s="9">
        <v>869.56521739130437</v>
      </c>
      <c r="I62" s="9">
        <v>869.56521739130437</v>
      </c>
      <c r="J62" s="9">
        <v>0</v>
      </c>
      <c r="K62" s="1">
        <f t="shared" si="2"/>
        <v>869.56521739130437</v>
      </c>
      <c r="L62" s="9">
        <v>191.30434782608697</v>
      </c>
      <c r="M62" s="16">
        <f t="shared" si="3"/>
        <v>1060.8695652173913</v>
      </c>
      <c r="N62" s="13">
        <v>1</v>
      </c>
      <c r="O62" s="13">
        <v>1</v>
      </c>
      <c r="P62" s="13">
        <v>1</v>
      </c>
      <c r="Q62" s="13">
        <v>1</v>
      </c>
      <c r="R62" s="13">
        <v>1</v>
      </c>
      <c r="T62" s="1">
        <f>K62-'[1]Contracts &amp; Invoices'!R69</f>
        <v>0</v>
      </c>
    </row>
    <row r="63" spans="2:20" x14ac:dyDescent="0.25">
      <c r="B63" s="48">
        <v>59</v>
      </c>
      <c r="C63" s="8">
        <v>45999</v>
      </c>
      <c r="D63" s="17">
        <f t="shared" si="1"/>
        <v>46022</v>
      </c>
      <c r="E63" s="12" t="s">
        <v>71</v>
      </c>
      <c r="F63" s="1" t="s">
        <v>41</v>
      </c>
      <c r="G63" s="1" t="s">
        <v>42</v>
      </c>
      <c r="H63" s="9">
        <v>5579.565217391304</v>
      </c>
      <c r="I63" s="9">
        <v>0</v>
      </c>
      <c r="J63" s="9">
        <v>0</v>
      </c>
      <c r="K63" s="1">
        <f t="shared" si="2"/>
        <v>0</v>
      </c>
      <c r="L63" s="9">
        <v>0</v>
      </c>
      <c r="M63" s="16">
        <f t="shared" si="3"/>
        <v>0</v>
      </c>
      <c r="N63" s="13">
        <v>1</v>
      </c>
      <c r="O63" s="13">
        <v>0</v>
      </c>
      <c r="P63" s="13">
        <v>0</v>
      </c>
      <c r="Q63" s="13"/>
      <c r="R63" s="13">
        <v>0</v>
      </c>
      <c r="T63" s="1">
        <f>K63-'[1]Contracts &amp; Invoices'!R70</f>
        <v>0</v>
      </c>
    </row>
    <row r="64" spans="2:20" x14ac:dyDescent="0.25">
      <c r="B64" s="48">
        <v>60</v>
      </c>
      <c r="C64" s="8">
        <v>46009</v>
      </c>
      <c r="D64" s="17">
        <f t="shared" si="1"/>
        <v>46022</v>
      </c>
      <c r="E64" s="11" t="s">
        <v>72</v>
      </c>
      <c r="F64" s="1" t="s">
        <v>65</v>
      </c>
      <c r="G64" s="1" t="s">
        <v>66</v>
      </c>
      <c r="H64" s="9">
        <v>11906.24</v>
      </c>
      <c r="I64" s="9">
        <v>11906.24</v>
      </c>
      <c r="J64" s="9">
        <v>0</v>
      </c>
      <c r="K64" s="1">
        <f t="shared" si="2"/>
        <v>11906.24</v>
      </c>
      <c r="L64" s="9">
        <v>2619.3728000000001</v>
      </c>
      <c r="M64" s="16">
        <f t="shared" si="3"/>
        <v>14525.612799999999</v>
      </c>
      <c r="N64" s="13">
        <v>1</v>
      </c>
      <c r="O64" s="13">
        <v>1</v>
      </c>
      <c r="P64" s="13">
        <v>1</v>
      </c>
      <c r="Q64" s="13">
        <v>1</v>
      </c>
      <c r="R64" s="13">
        <v>1</v>
      </c>
      <c r="T64" s="1">
        <f>K64-'[1]Contracts &amp; Invoices'!R71</f>
        <v>0</v>
      </c>
    </row>
    <row r="65" spans="2:20" x14ac:dyDescent="0.25">
      <c r="B65" s="48">
        <v>61</v>
      </c>
      <c r="C65" s="7">
        <v>46010</v>
      </c>
      <c r="D65" s="17">
        <f t="shared" si="1"/>
        <v>46022</v>
      </c>
      <c r="E65" s="11" t="s">
        <v>46</v>
      </c>
      <c r="F65" s="1" t="s">
        <v>73</v>
      </c>
      <c r="G65" s="1" t="s">
        <v>48</v>
      </c>
      <c r="H65" s="9">
        <v>30</v>
      </c>
      <c r="I65" s="9">
        <v>30</v>
      </c>
      <c r="J65" s="9">
        <v>0</v>
      </c>
      <c r="K65" s="1">
        <f t="shared" si="2"/>
        <v>30</v>
      </c>
      <c r="L65" s="9">
        <v>0</v>
      </c>
      <c r="M65" s="16">
        <f t="shared" si="3"/>
        <v>30</v>
      </c>
      <c r="N65" s="13">
        <v>1</v>
      </c>
      <c r="O65" s="13">
        <v>1</v>
      </c>
      <c r="P65" s="13">
        <v>1</v>
      </c>
      <c r="Q65" s="13">
        <v>1</v>
      </c>
      <c r="R65" s="13">
        <v>1</v>
      </c>
      <c r="T65" s="1">
        <f>K65-'[1]Contracts &amp; Invoices'!R72</f>
        <v>0</v>
      </c>
    </row>
    <row r="66" spans="2:20" x14ac:dyDescent="0.25">
      <c r="B66" s="48">
        <v>62</v>
      </c>
      <c r="C66" s="7">
        <v>46021</v>
      </c>
      <c r="D66" s="17">
        <f t="shared" si="1"/>
        <v>46022</v>
      </c>
      <c r="E66" s="11" t="s">
        <v>74</v>
      </c>
      <c r="F66" s="1" t="s">
        <v>28</v>
      </c>
      <c r="G66" s="1" t="s">
        <v>29</v>
      </c>
      <c r="H66" s="9">
        <v>11426.08695652174</v>
      </c>
      <c r="I66" s="9">
        <v>11426.08695652174</v>
      </c>
      <c r="J66" s="9">
        <v>0</v>
      </c>
      <c r="K66" s="1">
        <f t="shared" si="2"/>
        <v>11426.08695652174</v>
      </c>
      <c r="L66" s="9">
        <v>2513.739130434783</v>
      </c>
      <c r="M66" s="16">
        <f t="shared" si="3"/>
        <v>13939.826086956524</v>
      </c>
      <c r="N66" s="13">
        <v>1</v>
      </c>
      <c r="O66" s="13">
        <v>1</v>
      </c>
      <c r="P66" s="13">
        <v>1</v>
      </c>
      <c r="Q66" s="13">
        <v>1</v>
      </c>
      <c r="R66" s="13">
        <v>0</v>
      </c>
      <c r="T66" s="1">
        <f>K66-'[1]Contracts &amp; Invoices'!R73</f>
        <v>0</v>
      </c>
    </row>
    <row r="67" spans="2:20" x14ac:dyDescent="0.25">
      <c r="B67" s="48">
        <v>63</v>
      </c>
      <c r="C67" s="7">
        <v>46021</v>
      </c>
      <c r="D67" s="17">
        <f t="shared" si="1"/>
        <v>46022</v>
      </c>
      <c r="E67" s="11" t="s">
        <v>74</v>
      </c>
      <c r="F67" s="1" t="s">
        <v>28</v>
      </c>
      <c r="G67" s="1" t="s">
        <v>30</v>
      </c>
      <c r="H67" s="9">
        <v>3130.4347826086955</v>
      </c>
      <c r="I67" s="9">
        <v>3130.4347826086955</v>
      </c>
      <c r="J67" s="9">
        <v>0</v>
      </c>
      <c r="K67" s="1">
        <f t="shared" si="2"/>
        <v>3130.4347826086955</v>
      </c>
      <c r="L67" s="9">
        <v>688.695652173913</v>
      </c>
      <c r="M67" s="16">
        <f t="shared" si="3"/>
        <v>3819.1304347826085</v>
      </c>
      <c r="N67" s="13">
        <v>1</v>
      </c>
      <c r="O67" s="13">
        <v>1</v>
      </c>
      <c r="P67" s="13">
        <v>1</v>
      </c>
      <c r="Q67" s="13">
        <v>1</v>
      </c>
      <c r="R67" s="13">
        <v>0</v>
      </c>
      <c r="T67" s="1">
        <f>K67-'[1]Contracts &amp; Invoices'!R74</f>
        <v>0</v>
      </c>
    </row>
    <row r="68" spans="2:20" x14ac:dyDescent="0.25">
      <c r="B68" s="48">
        <v>64</v>
      </c>
      <c r="C68" s="7">
        <v>46021</v>
      </c>
      <c r="D68" s="17">
        <f t="shared" si="1"/>
        <v>46022</v>
      </c>
      <c r="E68" s="11" t="s">
        <v>74</v>
      </c>
      <c r="F68" s="1" t="s">
        <v>28</v>
      </c>
      <c r="G68" s="1" t="s">
        <v>69</v>
      </c>
      <c r="H68" s="9">
        <v>6480</v>
      </c>
      <c r="I68" s="9">
        <v>6230.76</v>
      </c>
      <c r="J68" s="9">
        <v>249.2304</v>
      </c>
      <c r="K68" s="1">
        <f t="shared" si="2"/>
        <v>6479.9904000000006</v>
      </c>
      <c r="L68" s="9">
        <v>1425.5978880000002</v>
      </c>
      <c r="M68" s="16">
        <f t="shared" si="3"/>
        <v>7905.5882880000008</v>
      </c>
      <c r="N68" s="13">
        <v>1</v>
      </c>
      <c r="O68" s="13">
        <v>1</v>
      </c>
      <c r="P68" s="13">
        <v>1</v>
      </c>
      <c r="Q68" s="13">
        <v>1</v>
      </c>
      <c r="R68" s="13">
        <v>0</v>
      </c>
      <c r="T68" s="1">
        <f>K68-'[1]Contracts &amp; Invoices'!R75</f>
        <v>0</v>
      </c>
    </row>
    <row r="69" spans="2:20" x14ac:dyDescent="0.25">
      <c r="B69" s="48">
        <v>65</v>
      </c>
      <c r="C69" s="7">
        <v>46021</v>
      </c>
      <c r="D69" s="17">
        <f t="shared" si="1"/>
        <v>46022</v>
      </c>
      <c r="E69" s="11" t="s">
        <v>74</v>
      </c>
      <c r="F69" s="1" t="s">
        <v>28</v>
      </c>
      <c r="G69" s="1" t="s">
        <v>70</v>
      </c>
      <c r="H69" s="9">
        <v>4320</v>
      </c>
      <c r="I69" s="9">
        <v>4153.84</v>
      </c>
      <c r="J69" s="9">
        <v>166.15360000000001</v>
      </c>
      <c r="K69" s="1">
        <f t="shared" si="2"/>
        <v>4319.9935999999998</v>
      </c>
      <c r="L69" s="9">
        <v>950.39859200000001</v>
      </c>
      <c r="M69" s="16">
        <f t="shared" si="3"/>
        <v>5270.3921919999993</v>
      </c>
      <c r="N69" s="13">
        <v>1</v>
      </c>
      <c r="O69" s="13">
        <v>1</v>
      </c>
      <c r="P69" s="13">
        <v>1</v>
      </c>
      <c r="Q69" s="13">
        <v>1</v>
      </c>
      <c r="R69" s="13">
        <v>0</v>
      </c>
      <c r="T69" s="1">
        <f>K69-'[1]Contracts &amp; Invoices'!R76</f>
        <v>0</v>
      </c>
    </row>
    <row r="70" spans="2:20" x14ac:dyDescent="0.25">
      <c r="B70" s="48">
        <v>66</v>
      </c>
      <c r="C70" s="7">
        <v>46021</v>
      </c>
      <c r="D70" s="17">
        <f t="shared" ref="D70:D124" si="4">EOMONTH(C70,0)</f>
        <v>46022</v>
      </c>
      <c r="E70" s="11" t="s">
        <v>74</v>
      </c>
      <c r="F70" s="1" t="s">
        <v>28</v>
      </c>
      <c r="G70" s="1" t="s">
        <v>57</v>
      </c>
      <c r="H70" s="9">
        <v>869.56521739130437</v>
      </c>
      <c r="I70" s="9">
        <v>869.56521739130437</v>
      </c>
      <c r="J70" s="9">
        <v>0</v>
      </c>
      <c r="K70" s="1">
        <f t="shared" ref="K70:K124" si="5">SUM(I70,J70)</f>
        <v>869.56521739130437</v>
      </c>
      <c r="L70" s="9">
        <v>191.30434782608697</v>
      </c>
      <c r="M70" s="16">
        <f t="shared" ref="M70:M124" si="6">SUM(K70,L70)</f>
        <v>1060.8695652173913</v>
      </c>
      <c r="N70" s="13">
        <v>1</v>
      </c>
      <c r="O70" s="13">
        <v>1</v>
      </c>
      <c r="P70" s="13">
        <v>1</v>
      </c>
      <c r="Q70" s="13">
        <v>1</v>
      </c>
      <c r="R70" s="13">
        <v>0</v>
      </c>
      <c r="T70" s="1">
        <f>K70-'[1]Contracts &amp; Invoices'!R77</f>
        <v>0</v>
      </c>
    </row>
    <row r="71" spans="2:20" x14ac:dyDescent="0.25">
      <c r="B71" s="48">
        <v>67</v>
      </c>
      <c r="C71" s="7">
        <v>46031</v>
      </c>
      <c r="D71" s="17">
        <f t="shared" si="4"/>
        <v>46053</v>
      </c>
      <c r="E71" s="11" t="s">
        <v>75</v>
      </c>
      <c r="F71" s="1" t="s">
        <v>65</v>
      </c>
      <c r="G71" s="1" t="s">
        <v>66</v>
      </c>
      <c r="H71" s="9">
        <v>763.7</v>
      </c>
      <c r="I71" s="9">
        <v>763.7</v>
      </c>
      <c r="J71" s="9">
        <v>0</v>
      </c>
      <c r="K71" s="1">
        <f t="shared" si="5"/>
        <v>763.7</v>
      </c>
      <c r="L71" s="9">
        <v>168.01400000000001</v>
      </c>
      <c r="M71" s="16">
        <f t="shared" si="6"/>
        <v>931.71400000000006</v>
      </c>
      <c r="N71" s="13">
        <v>1</v>
      </c>
      <c r="O71" s="13">
        <v>1</v>
      </c>
      <c r="P71" s="13">
        <v>1</v>
      </c>
      <c r="Q71" s="13">
        <v>1</v>
      </c>
      <c r="R71" s="13">
        <v>1</v>
      </c>
      <c r="T71" s="1">
        <f>K71-'[1]Contracts &amp; Invoices'!R78</f>
        <v>0</v>
      </c>
    </row>
    <row r="72" spans="2:20" x14ac:dyDescent="0.25">
      <c r="B72" s="48">
        <v>68</v>
      </c>
      <c r="C72" s="7">
        <v>46035</v>
      </c>
      <c r="D72" s="17">
        <f t="shared" si="4"/>
        <v>46053</v>
      </c>
      <c r="E72" s="12">
        <v>3000197</v>
      </c>
      <c r="F72" s="1" t="s">
        <v>41</v>
      </c>
      <c r="G72" s="1" t="s">
        <v>42</v>
      </c>
      <c r="H72" s="9">
        <v>4854</v>
      </c>
      <c r="I72" s="9">
        <v>4854</v>
      </c>
      <c r="J72" s="9">
        <v>0</v>
      </c>
      <c r="K72" s="1">
        <f t="shared" si="5"/>
        <v>4854</v>
      </c>
      <c r="L72" s="9">
        <v>0</v>
      </c>
      <c r="M72" s="16">
        <f t="shared" si="6"/>
        <v>4854</v>
      </c>
      <c r="N72" s="13">
        <v>1</v>
      </c>
      <c r="O72" s="13">
        <v>1</v>
      </c>
      <c r="P72" s="13">
        <v>1</v>
      </c>
      <c r="Q72" s="13">
        <v>1</v>
      </c>
      <c r="R72" s="13">
        <v>0</v>
      </c>
      <c r="T72" s="1">
        <f>K72-'[1]Contracts &amp; Invoices'!R79</f>
        <v>0</v>
      </c>
    </row>
    <row r="73" spans="2:20" x14ac:dyDescent="0.25">
      <c r="B73" s="48">
        <v>69</v>
      </c>
      <c r="C73" s="7">
        <v>46042</v>
      </c>
      <c r="D73" s="17">
        <f t="shared" si="4"/>
        <v>46053</v>
      </c>
      <c r="E73" s="11" t="s">
        <v>76</v>
      </c>
      <c r="F73" s="1" t="s">
        <v>28</v>
      </c>
      <c r="G73" s="1" t="s">
        <v>29</v>
      </c>
      <c r="H73" s="9">
        <v>45704.34782608696</v>
      </c>
      <c r="I73" s="9">
        <v>45704</v>
      </c>
      <c r="J73" s="9">
        <v>0</v>
      </c>
      <c r="K73" s="1">
        <f t="shared" si="5"/>
        <v>45704</v>
      </c>
      <c r="L73" s="9">
        <v>10054.879999999999</v>
      </c>
      <c r="M73" s="16">
        <f t="shared" si="6"/>
        <v>55758.879999999997</v>
      </c>
      <c r="N73" s="13">
        <v>1</v>
      </c>
      <c r="O73" s="13">
        <v>1</v>
      </c>
      <c r="P73" s="13">
        <v>1</v>
      </c>
      <c r="Q73" s="13"/>
      <c r="R73" s="13">
        <v>0</v>
      </c>
      <c r="T73" s="1">
        <f>K73-'[1]Contracts &amp; Invoices'!R80</f>
        <v>0</v>
      </c>
    </row>
    <row r="74" spans="2:20" x14ac:dyDescent="0.25">
      <c r="B74" s="48">
        <v>70</v>
      </c>
      <c r="C74" s="7">
        <v>46042</v>
      </c>
      <c r="D74" s="17">
        <f t="shared" si="4"/>
        <v>46053</v>
      </c>
      <c r="E74" s="11" t="s">
        <v>76</v>
      </c>
      <c r="F74" s="1" t="s">
        <v>28</v>
      </c>
      <c r="G74" s="1" t="s">
        <v>30</v>
      </c>
      <c r="H74" s="9">
        <v>12521.739130434782</v>
      </c>
      <c r="I74" s="9">
        <v>12520</v>
      </c>
      <c r="J74" s="9">
        <v>0</v>
      </c>
      <c r="K74" s="1">
        <f t="shared" si="5"/>
        <v>12520</v>
      </c>
      <c r="L74" s="9">
        <v>2754.4</v>
      </c>
      <c r="M74" s="16">
        <f t="shared" si="6"/>
        <v>15274.4</v>
      </c>
      <c r="N74" s="13">
        <v>1</v>
      </c>
      <c r="O74" s="13">
        <v>1</v>
      </c>
      <c r="P74" s="13">
        <v>1</v>
      </c>
      <c r="Q74" s="13"/>
      <c r="R74" s="13">
        <v>0</v>
      </c>
      <c r="T74" s="1">
        <f>K74-'[1]Contracts &amp; Invoices'!R81</f>
        <v>0</v>
      </c>
    </row>
    <row r="75" spans="2:20" x14ac:dyDescent="0.25">
      <c r="B75" s="48">
        <v>71</v>
      </c>
      <c r="C75" s="7">
        <v>46042</v>
      </c>
      <c r="D75" s="17">
        <f t="shared" si="4"/>
        <v>46053</v>
      </c>
      <c r="E75" s="11" t="s">
        <v>76</v>
      </c>
      <c r="F75" s="1" t="s">
        <v>28</v>
      </c>
      <c r="G75" s="1" t="s">
        <v>57</v>
      </c>
      <c r="H75" s="9">
        <v>3478.2608695652175</v>
      </c>
      <c r="I75" s="9">
        <v>3480</v>
      </c>
      <c r="J75" s="9">
        <v>0</v>
      </c>
      <c r="K75" s="1">
        <f t="shared" si="5"/>
        <v>3480</v>
      </c>
      <c r="L75" s="9">
        <v>765.6</v>
      </c>
      <c r="M75" s="16">
        <f t="shared" si="6"/>
        <v>4245.6000000000004</v>
      </c>
      <c r="N75" s="13">
        <v>1</v>
      </c>
      <c r="O75" s="13">
        <v>1</v>
      </c>
      <c r="P75" s="13">
        <v>1</v>
      </c>
      <c r="Q75" s="13"/>
      <c r="R75" s="13">
        <v>0</v>
      </c>
      <c r="T75" s="1">
        <f>K75-'[1]Contracts &amp; Invoices'!R82</f>
        <v>0</v>
      </c>
    </row>
    <row r="76" spans="2:20" x14ac:dyDescent="0.25">
      <c r="B76" s="48">
        <v>72</v>
      </c>
      <c r="C76" s="7">
        <v>46044</v>
      </c>
      <c r="D76" s="17">
        <f t="shared" si="4"/>
        <v>46053</v>
      </c>
      <c r="E76" s="11" t="s">
        <v>77</v>
      </c>
      <c r="F76" s="1" t="s">
        <v>62</v>
      </c>
      <c r="G76" s="1" t="s">
        <v>78</v>
      </c>
      <c r="H76" s="9">
        <v>1288.32</v>
      </c>
      <c r="I76" s="9">
        <v>1288.32</v>
      </c>
      <c r="J76" s="9">
        <v>0</v>
      </c>
      <c r="K76" s="1">
        <f t="shared" si="5"/>
        <v>1288.32</v>
      </c>
      <c r="L76" s="9">
        <v>0</v>
      </c>
      <c r="M76" s="16">
        <f t="shared" si="6"/>
        <v>1288.32</v>
      </c>
      <c r="N76" s="13">
        <v>1</v>
      </c>
      <c r="O76" s="13">
        <v>1</v>
      </c>
      <c r="P76" s="13">
        <v>1</v>
      </c>
      <c r="Q76" s="13">
        <v>1</v>
      </c>
      <c r="R76" s="13">
        <v>1</v>
      </c>
      <c r="T76" s="1">
        <f>K76-'[1]Contracts &amp; Invoices'!R83</f>
        <v>0</v>
      </c>
    </row>
    <row r="77" spans="2:20" x14ac:dyDescent="0.25">
      <c r="B77" s="48">
        <v>73</v>
      </c>
      <c r="C77" s="7">
        <v>46052</v>
      </c>
      <c r="D77" s="17">
        <f t="shared" si="4"/>
        <v>46053</v>
      </c>
      <c r="E77" s="3">
        <v>3000216</v>
      </c>
      <c r="F77" s="1" t="s">
        <v>41</v>
      </c>
      <c r="G77" s="1" t="s">
        <v>79</v>
      </c>
      <c r="H77" s="9">
        <v>3000</v>
      </c>
      <c r="I77" s="9">
        <v>3000</v>
      </c>
      <c r="J77" s="9">
        <v>0</v>
      </c>
      <c r="K77" s="1">
        <f t="shared" si="5"/>
        <v>3000</v>
      </c>
      <c r="L77" s="9">
        <v>0</v>
      </c>
      <c r="M77" s="16">
        <f t="shared" si="6"/>
        <v>3000</v>
      </c>
      <c r="N77" s="13">
        <v>1</v>
      </c>
      <c r="O77" s="13">
        <v>1</v>
      </c>
      <c r="P77" s="13">
        <v>1</v>
      </c>
      <c r="Q77" s="13">
        <v>1</v>
      </c>
      <c r="R77" s="13">
        <v>0</v>
      </c>
      <c r="T77" s="1">
        <f>K77-'[1]Contracts &amp; Invoices'!R84</f>
        <v>0</v>
      </c>
    </row>
    <row r="78" spans="2:20" x14ac:dyDescent="0.25">
      <c r="B78" s="48">
        <v>74</v>
      </c>
      <c r="C78" s="7">
        <v>46052</v>
      </c>
      <c r="D78" s="17">
        <f t="shared" si="4"/>
        <v>46053</v>
      </c>
      <c r="E78" s="3">
        <v>3000217</v>
      </c>
      <c r="F78" s="1" t="s">
        <v>41</v>
      </c>
      <c r="G78" s="1" t="s">
        <v>80</v>
      </c>
      <c r="H78" s="9">
        <v>10000</v>
      </c>
      <c r="I78" s="9">
        <v>10000</v>
      </c>
      <c r="J78" s="9">
        <v>0</v>
      </c>
      <c r="K78" s="1">
        <f t="shared" si="5"/>
        <v>10000</v>
      </c>
      <c r="L78" s="9">
        <v>0</v>
      </c>
      <c r="M78" s="16">
        <f t="shared" si="6"/>
        <v>10000</v>
      </c>
      <c r="N78" s="13">
        <v>1</v>
      </c>
      <c r="O78" s="13">
        <v>1</v>
      </c>
      <c r="P78" s="13">
        <v>1</v>
      </c>
      <c r="Q78" s="13">
        <v>1</v>
      </c>
      <c r="R78" s="13">
        <v>0</v>
      </c>
      <c r="T78" s="1">
        <f>K78-'[1]Contracts &amp; Invoices'!R85</f>
        <v>0</v>
      </c>
    </row>
    <row r="79" spans="2:20" x14ac:dyDescent="0.25">
      <c r="B79" s="48">
        <v>75</v>
      </c>
      <c r="C79" s="7">
        <v>46052</v>
      </c>
      <c r="D79" s="17">
        <f t="shared" si="4"/>
        <v>46053</v>
      </c>
      <c r="E79" s="11" t="s">
        <v>77</v>
      </c>
      <c r="F79" s="1" t="s">
        <v>41</v>
      </c>
      <c r="G79" s="1" t="s">
        <v>80</v>
      </c>
      <c r="H79" s="9">
        <v>25000</v>
      </c>
      <c r="I79" s="9">
        <v>0</v>
      </c>
      <c r="J79" s="9">
        <v>0</v>
      </c>
      <c r="K79" s="1">
        <f t="shared" si="5"/>
        <v>0</v>
      </c>
      <c r="L79" s="9">
        <v>0</v>
      </c>
      <c r="M79" s="16">
        <f t="shared" si="6"/>
        <v>0</v>
      </c>
      <c r="N79" s="13">
        <v>1</v>
      </c>
      <c r="O79" s="13">
        <v>0</v>
      </c>
      <c r="P79" s="13">
        <v>0</v>
      </c>
      <c r="Q79" s="13"/>
      <c r="R79" s="13">
        <v>0</v>
      </c>
      <c r="T79" s="1">
        <f>K79-'[1]Contracts &amp; Invoices'!R86</f>
        <v>0</v>
      </c>
    </row>
    <row r="80" spans="2:20" x14ac:dyDescent="0.25">
      <c r="B80" s="48">
        <v>76</v>
      </c>
      <c r="C80" s="7">
        <v>46052</v>
      </c>
      <c r="D80" s="17">
        <f t="shared" si="4"/>
        <v>46053</v>
      </c>
      <c r="E80" s="11" t="s">
        <v>77</v>
      </c>
      <c r="F80" s="1" t="s">
        <v>81</v>
      </c>
      <c r="G80" s="1" t="s">
        <v>82</v>
      </c>
      <c r="H80" s="9">
        <v>5000</v>
      </c>
      <c r="I80" s="9">
        <v>0</v>
      </c>
      <c r="J80" s="9">
        <v>0</v>
      </c>
      <c r="K80" s="1">
        <f t="shared" si="5"/>
        <v>0</v>
      </c>
      <c r="L80" s="9">
        <v>0</v>
      </c>
      <c r="M80" s="16">
        <f t="shared" si="6"/>
        <v>0</v>
      </c>
      <c r="N80" s="13">
        <v>1</v>
      </c>
      <c r="O80" s="13">
        <v>0</v>
      </c>
      <c r="P80" s="13">
        <v>0</v>
      </c>
      <c r="Q80" s="13"/>
      <c r="R80" s="13">
        <v>0</v>
      </c>
      <c r="T80" s="1">
        <f>K80-'[1]Contracts &amp; Invoices'!R87</f>
        <v>0</v>
      </c>
    </row>
    <row r="81" spans="2:20" x14ac:dyDescent="0.25">
      <c r="B81" s="48">
        <v>77</v>
      </c>
      <c r="C81" s="7">
        <v>46057</v>
      </c>
      <c r="D81" s="17">
        <f t="shared" si="4"/>
        <v>46081</v>
      </c>
      <c r="E81" s="12">
        <v>3000231</v>
      </c>
      <c r="F81" s="1" t="s">
        <v>41</v>
      </c>
      <c r="G81" s="1" t="s">
        <v>53</v>
      </c>
      <c r="H81" s="9">
        <v>1620</v>
      </c>
      <c r="I81" s="9">
        <v>1620</v>
      </c>
      <c r="J81" s="9">
        <v>0</v>
      </c>
      <c r="K81" s="1">
        <f t="shared" si="5"/>
        <v>1620</v>
      </c>
      <c r="L81" s="9">
        <v>0</v>
      </c>
      <c r="M81" s="16">
        <f t="shared" si="6"/>
        <v>1620</v>
      </c>
      <c r="N81" s="13">
        <v>1</v>
      </c>
      <c r="O81" s="13">
        <v>1</v>
      </c>
      <c r="P81" s="13">
        <v>1</v>
      </c>
      <c r="Q81" s="13">
        <v>1</v>
      </c>
      <c r="R81" s="13">
        <v>0</v>
      </c>
      <c r="T81" s="1">
        <f>K81-'[1]Contracts &amp; Invoices'!R88</f>
        <v>0</v>
      </c>
    </row>
    <row r="82" spans="2:20" x14ac:dyDescent="0.25">
      <c r="B82" s="48">
        <v>78</v>
      </c>
      <c r="C82" s="7">
        <v>46057</v>
      </c>
      <c r="D82" s="17">
        <f t="shared" si="4"/>
        <v>46081</v>
      </c>
      <c r="E82" s="12">
        <v>3000232</v>
      </c>
      <c r="F82" s="1" t="s">
        <v>41</v>
      </c>
      <c r="G82" s="1" t="s">
        <v>53</v>
      </c>
      <c r="H82" s="9">
        <v>2580</v>
      </c>
      <c r="I82" s="9">
        <v>2580</v>
      </c>
      <c r="J82" s="9">
        <v>0</v>
      </c>
      <c r="K82" s="1">
        <f t="shared" si="5"/>
        <v>2580</v>
      </c>
      <c r="L82" s="9">
        <v>0</v>
      </c>
      <c r="M82" s="16">
        <f t="shared" si="6"/>
        <v>2580</v>
      </c>
      <c r="N82" s="13">
        <v>1</v>
      </c>
      <c r="O82" s="13">
        <v>1</v>
      </c>
      <c r="P82" s="13">
        <v>1</v>
      </c>
      <c r="Q82" s="13">
        <v>1</v>
      </c>
      <c r="R82" s="13">
        <v>0</v>
      </c>
      <c r="T82" s="1">
        <f>K82-'[1]Contracts &amp; Invoices'!R89</f>
        <v>0</v>
      </c>
    </row>
    <row r="83" spans="2:20" x14ac:dyDescent="0.25">
      <c r="B83" s="48">
        <v>79</v>
      </c>
      <c r="C83" s="7">
        <v>46080</v>
      </c>
      <c r="D83" s="17">
        <f t="shared" si="4"/>
        <v>46081</v>
      </c>
      <c r="E83" s="11" t="s">
        <v>46</v>
      </c>
      <c r="F83" s="1" t="s">
        <v>83</v>
      </c>
      <c r="G83" s="1" t="s">
        <v>83</v>
      </c>
      <c r="H83" s="9">
        <v>20419.39</v>
      </c>
      <c r="I83" s="9">
        <v>20442.39</v>
      </c>
      <c r="J83" s="9">
        <v>0</v>
      </c>
      <c r="K83" s="1">
        <f t="shared" si="5"/>
        <v>20442.39</v>
      </c>
      <c r="L83" s="9">
        <v>4497.3257999999996</v>
      </c>
      <c r="M83" s="16">
        <f t="shared" si="6"/>
        <v>24939.715799999998</v>
      </c>
      <c r="N83" s="13">
        <v>1</v>
      </c>
      <c r="O83" s="13">
        <v>1</v>
      </c>
      <c r="P83" s="13">
        <v>1</v>
      </c>
      <c r="Q83" s="13">
        <v>1</v>
      </c>
      <c r="R83" s="13">
        <v>1</v>
      </c>
      <c r="T83" s="1">
        <f>K83-'[1]Contracts &amp; Invoices'!R90</f>
        <v>0</v>
      </c>
    </row>
    <row r="84" spans="2:20" x14ac:dyDescent="0.25">
      <c r="B84" s="48">
        <v>80</v>
      </c>
      <c r="C84" s="7">
        <v>46081</v>
      </c>
      <c r="D84" s="17">
        <f t="shared" si="4"/>
        <v>46081</v>
      </c>
      <c r="E84" s="11" t="s">
        <v>84</v>
      </c>
      <c r="F84" s="1" t="s">
        <v>33</v>
      </c>
      <c r="G84" s="1" t="s">
        <v>34</v>
      </c>
      <c r="H84" s="9">
        <v>9530</v>
      </c>
      <c r="I84" s="9">
        <v>9530</v>
      </c>
      <c r="J84" s="9">
        <v>0</v>
      </c>
      <c r="K84" s="1">
        <f t="shared" si="5"/>
        <v>9530</v>
      </c>
      <c r="L84" s="9">
        <v>2096.6</v>
      </c>
      <c r="M84" s="16">
        <f t="shared" si="6"/>
        <v>11626.6</v>
      </c>
      <c r="N84" s="13">
        <v>1</v>
      </c>
      <c r="O84" s="13">
        <v>1</v>
      </c>
      <c r="P84" s="13">
        <v>1</v>
      </c>
      <c r="Q84" s="13"/>
      <c r="R84" s="13">
        <v>0</v>
      </c>
      <c r="T84" s="1">
        <f>K84-'[1]Contracts &amp; Invoices'!R91</f>
        <v>0</v>
      </c>
    </row>
    <row r="85" spans="2:20" x14ac:dyDescent="0.25">
      <c r="B85" s="48">
        <v>81</v>
      </c>
      <c r="C85" s="7">
        <v>46081</v>
      </c>
      <c r="D85" s="17">
        <f t="shared" si="4"/>
        <v>46081</v>
      </c>
      <c r="E85" s="11" t="s">
        <v>85</v>
      </c>
      <c r="F85" s="1" t="s">
        <v>28</v>
      </c>
      <c r="G85" s="1" t="s">
        <v>29</v>
      </c>
      <c r="H85" s="9">
        <v>11426.08695652174</v>
      </c>
      <c r="I85" s="9">
        <v>11426</v>
      </c>
      <c r="J85" s="9">
        <v>0</v>
      </c>
      <c r="K85" s="1">
        <f t="shared" si="5"/>
        <v>11426</v>
      </c>
      <c r="L85" s="9">
        <v>2513.7199999999998</v>
      </c>
      <c r="M85" s="16">
        <f t="shared" si="6"/>
        <v>13939.72</v>
      </c>
      <c r="N85" s="13">
        <v>1</v>
      </c>
      <c r="O85" s="13">
        <v>1</v>
      </c>
      <c r="P85" s="13">
        <v>1</v>
      </c>
      <c r="Q85" s="13"/>
      <c r="R85" s="13">
        <v>0</v>
      </c>
      <c r="T85" s="1">
        <f>K85-'[1]Contracts &amp; Invoices'!R92</f>
        <v>0</v>
      </c>
    </row>
    <row r="86" spans="2:20" x14ac:dyDescent="0.25">
      <c r="B86" s="48">
        <v>82</v>
      </c>
      <c r="C86" s="7">
        <v>46081</v>
      </c>
      <c r="D86" s="17">
        <f t="shared" si="4"/>
        <v>46081</v>
      </c>
      <c r="E86" s="11" t="s">
        <v>86</v>
      </c>
      <c r="F86" s="1" t="s">
        <v>28</v>
      </c>
      <c r="G86" s="1" t="s">
        <v>29</v>
      </c>
      <c r="H86" s="9">
        <v>11426.08695652174</v>
      </c>
      <c r="I86" s="9">
        <v>11426</v>
      </c>
      <c r="J86" s="9">
        <v>0</v>
      </c>
      <c r="K86" s="1">
        <f t="shared" si="5"/>
        <v>11426</v>
      </c>
      <c r="L86" s="9">
        <v>2513.7199999999998</v>
      </c>
      <c r="M86" s="16">
        <f t="shared" si="6"/>
        <v>13939.72</v>
      </c>
      <c r="N86" s="13">
        <v>1</v>
      </c>
      <c r="O86" s="13">
        <v>1</v>
      </c>
      <c r="P86" s="13">
        <v>1</v>
      </c>
      <c r="Q86" s="13"/>
      <c r="R86" s="13">
        <v>0</v>
      </c>
      <c r="T86" s="1">
        <f>K86-'[1]Contracts &amp; Invoices'!R93</f>
        <v>0</v>
      </c>
    </row>
    <row r="87" spans="2:20" x14ac:dyDescent="0.25">
      <c r="B87" s="48">
        <v>83</v>
      </c>
      <c r="C87" s="7">
        <v>46081</v>
      </c>
      <c r="D87" s="17">
        <f t="shared" si="4"/>
        <v>46081</v>
      </c>
      <c r="E87" s="11" t="s">
        <v>85</v>
      </c>
      <c r="F87" s="1" t="s">
        <v>28</v>
      </c>
      <c r="G87" s="1" t="s">
        <v>30</v>
      </c>
      <c r="H87" s="9">
        <v>3130.4347826086955</v>
      </c>
      <c r="I87" s="9">
        <v>3130.65</v>
      </c>
      <c r="J87" s="9">
        <v>0</v>
      </c>
      <c r="K87" s="1">
        <f t="shared" si="5"/>
        <v>3130.65</v>
      </c>
      <c r="L87" s="9">
        <v>688.74300000000005</v>
      </c>
      <c r="M87" s="16">
        <f t="shared" si="6"/>
        <v>3819.393</v>
      </c>
      <c r="N87" s="13">
        <v>1</v>
      </c>
      <c r="O87" s="13">
        <v>1</v>
      </c>
      <c r="P87" s="13">
        <v>1</v>
      </c>
      <c r="Q87" s="13"/>
      <c r="R87" s="13">
        <v>0</v>
      </c>
      <c r="T87" s="1">
        <f>K87-'[1]Contracts &amp; Invoices'!R94</f>
        <v>0</v>
      </c>
    </row>
    <row r="88" spans="2:20" x14ac:dyDescent="0.25">
      <c r="B88" s="48">
        <v>84</v>
      </c>
      <c r="C88" s="7">
        <v>46081</v>
      </c>
      <c r="D88" s="17">
        <f t="shared" si="4"/>
        <v>46081</v>
      </c>
      <c r="E88" s="11" t="s">
        <v>86</v>
      </c>
      <c r="F88" s="1" t="s">
        <v>28</v>
      </c>
      <c r="G88" s="1" t="s">
        <v>30</v>
      </c>
      <c r="H88" s="9">
        <v>3130.4347826086955</v>
      </c>
      <c r="I88" s="9">
        <v>3130.65</v>
      </c>
      <c r="J88" s="9">
        <v>0</v>
      </c>
      <c r="K88" s="1">
        <f t="shared" si="5"/>
        <v>3130.65</v>
      </c>
      <c r="L88" s="9">
        <v>688.74300000000005</v>
      </c>
      <c r="M88" s="16">
        <f t="shared" si="6"/>
        <v>3819.393</v>
      </c>
      <c r="N88" s="13">
        <v>1</v>
      </c>
      <c r="O88" s="13">
        <v>1</v>
      </c>
      <c r="P88" s="13">
        <v>1</v>
      </c>
      <c r="Q88" s="13"/>
      <c r="R88" s="13">
        <v>0</v>
      </c>
      <c r="T88" s="1">
        <f>K88-'[1]Contracts &amp; Invoices'!R95</f>
        <v>0</v>
      </c>
    </row>
    <row r="89" spans="2:20" x14ac:dyDescent="0.25">
      <c r="B89" s="48">
        <v>85</v>
      </c>
      <c r="C89" s="7">
        <v>46081</v>
      </c>
      <c r="D89" s="17">
        <f t="shared" si="4"/>
        <v>46081</v>
      </c>
      <c r="E89" s="11" t="s">
        <v>85</v>
      </c>
      <c r="F89" s="1" t="s">
        <v>28</v>
      </c>
      <c r="G89" s="1" t="s">
        <v>69</v>
      </c>
      <c r="H89" s="9">
        <v>6480</v>
      </c>
      <c r="I89" s="9">
        <v>6230.77</v>
      </c>
      <c r="J89" s="9">
        <v>249.23080000000002</v>
      </c>
      <c r="K89" s="1">
        <f t="shared" si="5"/>
        <v>6480.0008000000007</v>
      </c>
      <c r="L89" s="9">
        <v>1425.6001760000001</v>
      </c>
      <c r="M89" s="16">
        <f t="shared" si="6"/>
        <v>7905.6009760000006</v>
      </c>
      <c r="N89" s="13">
        <v>1</v>
      </c>
      <c r="O89" s="13">
        <v>1</v>
      </c>
      <c r="P89" s="13">
        <v>1</v>
      </c>
      <c r="Q89" s="13"/>
      <c r="R89" s="13">
        <v>0</v>
      </c>
      <c r="T89" s="1">
        <f>K89-'[1]Contracts &amp; Invoices'!R96</f>
        <v>0</v>
      </c>
    </row>
    <row r="90" spans="2:20" x14ac:dyDescent="0.25">
      <c r="B90" s="48">
        <v>86</v>
      </c>
      <c r="C90" s="7">
        <v>46081</v>
      </c>
      <c r="D90" s="17">
        <f t="shared" si="4"/>
        <v>46081</v>
      </c>
      <c r="E90" s="11" t="s">
        <v>86</v>
      </c>
      <c r="F90" s="1" t="s">
        <v>28</v>
      </c>
      <c r="G90" s="1" t="s">
        <v>69</v>
      </c>
      <c r="H90" s="9">
        <v>6480</v>
      </c>
      <c r="I90" s="9">
        <v>6230.77</v>
      </c>
      <c r="J90" s="9">
        <v>249.23080000000002</v>
      </c>
      <c r="K90" s="1">
        <f t="shared" si="5"/>
        <v>6480.0008000000007</v>
      </c>
      <c r="L90" s="9">
        <v>1425.6001760000001</v>
      </c>
      <c r="M90" s="16">
        <f t="shared" si="6"/>
        <v>7905.6009760000006</v>
      </c>
      <c r="N90" s="13">
        <v>1</v>
      </c>
      <c r="O90" s="13">
        <v>1</v>
      </c>
      <c r="P90" s="13">
        <v>1</v>
      </c>
      <c r="Q90" s="13"/>
      <c r="R90" s="13">
        <v>0</v>
      </c>
      <c r="T90" s="1">
        <f>K90-'[1]Contracts &amp; Invoices'!R97</f>
        <v>0</v>
      </c>
    </row>
    <row r="91" spans="2:20" x14ac:dyDescent="0.25">
      <c r="B91" s="48">
        <v>87</v>
      </c>
      <c r="C91" s="7">
        <v>46081</v>
      </c>
      <c r="D91" s="17">
        <f t="shared" si="4"/>
        <v>46081</v>
      </c>
      <c r="E91" s="11" t="s">
        <v>85</v>
      </c>
      <c r="F91" s="1" t="s">
        <v>28</v>
      </c>
      <c r="G91" s="1" t="s">
        <v>70</v>
      </c>
      <c r="H91" s="9">
        <v>4320</v>
      </c>
      <c r="I91" s="9">
        <v>4153.8500000000004</v>
      </c>
      <c r="J91" s="9">
        <v>166.15400000000002</v>
      </c>
      <c r="K91" s="1">
        <f t="shared" si="5"/>
        <v>4320.0040000000008</v>
      </c>
      <c r="L91" s="9">
        <v>950.40088000000014</v>
      </c>
      <c r="M91" s="16">
        <f t="shared" si="6"/>
        <v>5270.404880000001</v>
      </c>
      <c r="N91" s="13">
        <v>1</v>
      </c>
      <c r="O91" s="13">
        <v>1</v>
      </c>
      <c r="P91" s="13">
        <v>1</v>
      </c>
      <c r="Q91" s="13"/>
      <c r="R91" s="13">
        <v>0</v>
      </c>
      <c r="T91" s="1">
        <f>K91-'[1]Contracts &amp; Invoices'!R98</f>
        <v>0</v>
      </c>
    </row>
    <row r="92" spans="2:20" x14ac:dyDescent="0.25">
      <c r="B92" s="48">
        <v>88</v>
      </c>
      <c r="C92" s="7">
        <v>46081</v>
      </c>
      <c r="D92" s="17">
        <f t="shared" si="4"/>
        <v>46081</v>
      </c>
      <c r="E92" s="11" t="s">
        <v>86</v>
      </c>
      <c r="F92" s="1" t="s">
        <v>28</v>
      </c>
      <c r="G92" s="1" t="s">
        <v>70</v>
      </c>
      <c r="H92" s="9">
        <v>4320</v>
      </c>
      <c r="I92" s="9">
        <v>4153.8500000000004</v>
      </c>
      <c r="J92" s="9">
        <v>166.15400000000002</v>
      </c>
      <c r="K92" s="1">
        <f t="shared" si="5"/>
        <v>4320.0040000000008</v>
      </c>
      <c r="L92" s="9">
        <v>950.40088000000014</v>
      </c>
      <c r="M92" s="16">
        <f t="shared" si="6"/>
        <v>5270.404880000001</v>
      </c>
      <c r="N92" s="13">
        <v>1</v>
      </c>
      <c r="O92" s="13">
        <v>1</v>
      </c>
      <c r="P92" s="13">
        <v>1</v>
      </c>
      <c r="Q92" s="13"/>
      <c r="R92" s="13">
        <v>0</v>
      </c>
      <c r="T92" s="1">
        <f>K92-'[1]Contracts &amp; Invoices'!R99</f>
        <v>0</v>
      </c>
    </row>
    <row r="93" spans="2:20" x14ac:dyDescent="0.25">
      <c r="B93" s="48">
        <v>89</v>
      </c>
      <c r="C93" s="7">
        <v>46081</v>
      </c>
      <c r="D93" s="17">
        <f t="shared" si="4"/>
        <v>46081</v>
      </c>
      <c r="E93" s="11" t="s">
        <v>85</v>
      </c>
      <c r="F93" s="1" t="s">
        <v>28</v>
      </c>
      <c r="G93" s="1" t="s">
        <v>57</v>
      </c>
      <c r="H93" s="9">
        <v>869.56521739130437</v>
      </c>
      <c r="I93" s="9">
        <v>869.34</v>
      </c>
      <c r="J93" s="9">
        <v>0</v>
      </c>
      <c r="K93" s="1">
        <f t="shared" si="5"/>
        <v>869.34</v>
      </c>
      <c r="L93" s="9">
        <v>191.25480000000002</v>
      </c>
      <c r="M93" s="16">
        <f t="shared" si="6"/>
        <v>1060.5948000000001</v>
      </c>
      <c r="N93" s="13">
        <v>1</v>
      </c>
      <c r="O93" s="13">
        <v>1</v>
      </c>
      <c r="P93" s="13">
        <v>1</v>
      </c>
      <c r="Q93" s="13"/>
      <c r="R93" s="13">
        <v>0</v>
      </c>
      <c r="T93" s="1">
        <f>K93-'[1]Contracts &amp; Invoices'!R100</f>
        <v>0</v>
      </c>
    </row>
    <row r="94" spans="2:20" x14ac:dyDescent="0.25">
      <c r="B94" s="48">
        <v>90</v>
      </c>
      <c r="C94" s="7">
        <v>46081</v>
      </c>
      <c r="D94" s="17">
        <f t="shared" si="4"/>
        <v>46081</v>
      </c>
      <c r="E94" s="11" t="s">
        <v>86</v>
      </c>
      <c r="F94" s="1" t="s">
        <v>28</v>
      </c>
      <c r="G94" s="1" t="s">
        <v>57</v>
      </c>
      <c r="H94" s="9">
        <v>869.56521739130437</v>
      </c>
      <c r="I94" s="9">
        <v>869.34</v>
      </c>
      <c r="J94" s="9">
        <v>0</v>
      </c>
      <c r="K94" s="1">
        <f t="shared" si="5"/>
        <v>869.34</v>
      </c>
      <c r="L94" s="9">
        <v>191.25480000000002</v>
      </c>
      <c r="M94" s="16">
        <f t="shared" si="6"/>
        <v>1060.5948000000001</v>
      </c>
      <c r="N94" s="13">
        <v>1</v>
      </c>
      <c r="O94" s="13">
        <v>1</v>
      </c>
      <c r="P94" s="13">
        <v>1</v>
      </c>
      <c r="Q94" s="13"/>
      <c r="R94" s="13">
        <v>0</v>
      </c>
      <c r="T94" s="1">
        <f>K94-'[1]Contracts &amp; Invoices'!R101</f>
        <v>0</v>
      </c>
    </row>
    <row r="95" spans="2:20" x14ac:dyDescent="0.25">
      <c r="B95" s="48">
        <v>91</v>
      </c>
      <c r="C95" s="7">
        <v>46081</v>
      </c>
      <c r="D95" s="17">
        <f t="shared" si="4"/>
        <v>46081</v>
      </c>
      <c r="E95" s="11" t="s">
        <v>77</v>
      </c>
      <c r="F95" s="1" t="s">
        <v>87</v>
      </c>
      <c r="G95" s="1" t="s">
        <v>88</v>
      </c>
      <c r="H95" s="9">
        <v>11179.111439430801</v>
      </c>
      <c r="I95" s="9">
        <v>11179.111439430801</v>
      </c>
      <c r="J95" s="9">
        <v>0</v>
      </c>
      <c r="K95" s="1">
        <f t="shared" si="5"/>
        <v>11179.111439430801</v>
      </c>
      <c r="L95" s="9">
        <v>0</v>
      </c>
      <c r="M95" s="16">
        <f t="shared" si="6"/>
        <v>11179.111439430801</v>
      </c>
      <c r="N95" s="13">
        <v>1</v>
      </c>
      <c r="O95" s="13">
        <v>0</v>
      </c>
      <c r="P95" s="13">
        <v>0</v>
      </c>
      <c r="Q95" s="13"/>
      <c r="R95" s="13">
        <v>0</v>
      </c>
      <c r="T95" s="1">
        <f>K95-'[1]Contracts &amp; Invoices'!R102</f>
        <v>11179.111439430801</v>
      </c>
    </row>
    <row r="96" spans="2:20" x14ac:dyDescent="0.25">
      <c r="B96" s="48">
        <v>92</v>
      </c>
      <c r="C96" s="7">
        <v>46081</v>
      </c>
      <c r="D96" s="17">
        <f t="shared" si="4"/>
        <v>46081</v>
      </c>
      <c r="E96" s="11" t="s">
        <v>77</v>
      </c>
      <c r="F96" s="1" t="s">
        <v>87</v>
      </c>
      <c r="G96" s="1" t="s">
        <v>88</v>
      </c>
      <c r="H96" s="9">
        <v>140431.387702876</v>
      </c>
      <c r="I96" s="9">
        <v>140431.387702876</v>
      </c>
      <c r="J96" s="9">
        <v>0</v>
      </c>
      <c r="K96" s="1">
        <f t="shared" si="5"/>
        <v>140431.387702876</v>
      </c>
      <c r="L96" s="9">
        <v>0</v>
      </c>
      <c r="M96" s="16">
        <f t="shared" si="6"/>
        <v>140431.387702876</v>
      </c>
      <c r="N96" s="13">
        <v>1</v>
      </c>
      <c r="O96" s="13">
        <v>0</v>
      </c>
      <c r="P96" s="13">
        <v>0</v>
      </c>
      <c r="Q96" s="13"/>
      <c r="R96" s="13">
        <v>0</v>
      </c>
      <c r="T96" s="1">
        <f>K96-'[1]Contracts &amp; Invoices'!R103</f>
        <v>140431.387702876</v>
      </c>
    </row>
    <row r="97" spans="2:20" x14ac:dyDescent="0.25">
      <c r="B97" s="48">
        <v>93</v>
      </c>
      <c r="C97" s="7">
        <v>46081</v>
      </c>
      <c r="D97" s="17">
        <f t="shared" si="4"/>
        <v>46081</v>
      </c>
      <c r="E97" s="11" t="s">
        <v>77</v>
      </c>
      <c r="F97" s="1" t="s">
        <v>87</v>
      </c>
      <c r="G97" s="1" t="s">
        <v>88</v>
      </c>
      <c r="H97" s="9">
        <v>98551.133150852402</v>
      </c>
      <c r="I97" s="9">
        <v>98551.133150852402</v>
      </c>
      <c r="J97" s="9">
        <v>0</v>
      </c>
      <c r="K97" s="1">
        <f t="shared" si="5"/>
        <v>98551.133150852402</v>
      </c>
      <c r="L97" s="9">
        <v>0</v>
      </c>
      <c r="M97" s="16">
        <f t="shared" si="6"/>
        <v>98551.133150852402</v>
      </c>
      <c r="N97" s="13">
        <v>1</v>
      </c>
      <c r="O97" s="13">
        <v>0</v>
      </c>
      <c r="P97" s="13">
        <v>0</v>
      </c>
      <c r="Q97" s="13"/>
      <c r="R97" s="13">
        <v>0</v>
      </c>
      <c r="T97" s="1">
        <f>K97-'[1]Contracts &amp; Invoices'!R104</f>
        <v>98551.133150852402</v>
      </c>
    </row>
    <row r="98" spans="2:20" x14ac:dyDescent="0.25">
      <c r="B98" s="48">
        <v>94</v>
      </c>
      <c r="C98" s="7">
        <v>46081</v>
      </c>
      <c r="D98" s="17">
        <f t="shared" si="4"/>
        <v>46081</v>
      </c>
      <c r="E98" s="11" t="s">
        <v>77</v>
      </c>
      <c r="F98" s="1" t="s">
        <v>87</v>
      </c>
      <c r="G98" s="1" t="s">
        <v>88</v>
      </c>
      <c r="H98" s="9">
        <v>19098.920000000002</v>
      </c>
      <c r="I98" s="9">
        <v>19098.920000000002</v>
      </c>
      <c r="J98" s="9">
        <v>0</v>
      </c>
      <c r="K98" s="1">
        <f t="shared" si="5"/>
        <v>19098.920000000002</v>
      </c>
      <c r="L98" s="9">
        <v>0</v>
      </c>
      <c r="M98" s="16">
        <f t="shared" si="6"/>
        <v>19098.920000000002</v>
      </c>
      <c r="N98" s="13">
        <v>1</v>
      </c>
      <c r="O98" s="13">
        <v>0</v>
      </c>
      <c r="P98" s="13">
        <v>0</v>
      </c>
      <c r="Q98" s="13"/>
      <c r="R98" s="13">
        <v>0</v>
      </c>
      <c r="T98" s="1">
        <f>K98-'[1]Contracts &amp; Invoices'!R105</f>
        <v>19098.920000000002</v>
      </c>
    </row>
    <row r="99" spans="2:20" x14ac:dyDescent="0.25">
      <c r="B99" s="48">
        <v>95</v>
      </c>
      <c r="C99" s="7">
        <v>46081</v>
      </c>
      <c r="D99" s="17">
        <f t="shared" si="4"/>
        <v>46081</v>
      </c>
      <c r="E99" s="11" t="s">
        <v>89</v>
      </c>
      <c r="F99" s="1" t="s">
        <v>87</v>
      </c>
      <c r="G99" s="1" t="s">
        <v>88</v>
      </c>
      <c r="H99" s="9">
        <v>119173.76999999999</v>
      </c>
      <c r="I99" s="9">
        <v>119173.76999999999</v>
      </c>
      <c r="J99" s="9">
        <v>0</v>
      </c>
      <c r="K99" s="1">
        <f t="shared" si="5"/>
        <v>119173.76999999999</v>
      </c>
      <c r="L99" s="9">
        <v>26218.229399999997</v>
      </c>
      <c r="M99" s="16">
        <f t="shared" si="6"/>
        <v>145391.99939999997</v>
      </c>
      <c r="N99" s="13">
        <v>1</v>
      </c>
      <c r="O99" s="13">
        <v>1</v>
      </c>
      <c r="P99" s="13">
        <v>1</v>
      </c>
      <c r="Q99" s="13"/>
      <c r="R99" s="13">
        <v>1</v>
      </c>
      <c r="T99" s="1">
        <f>K99-'[1]Contracts &amp; Invoices'!R106</f>
        <v>0</v>
      </c>
    </row>
    <row r="100" spans="2:20" x14ac:dyDescent="0.25">
      <c r="B100" s="48">
        <v>96</v>
      </c>
      <c r="C100" s="7">
        <v>46081</v>
      </c>
      <c r="D100" s="17">
        <f t="shared" si="4"/>
        <v>46081</v>
      </c>
      <c r="E100" s="11" t="s">
        <v>89</v>
      </c>
      <c r="F100" s="1" t="s">
        <v>87</v>
      </c>
      <c r="G100" s="1" t="s">
        <v>88</v>
      </c>
      <c r="H100" s="9">
        <v>0</v>
      </c>
      <c r="I100" s="9">
        <v>0</v>
      </c>
      <c r="J100" s="9">
        <v>0</v>
      </c>
      <c r="K100" s="1">
        <f t="shared" si="5"/>
        <v>0</v>
      </c>
      <c r="L100" s="9">
        <v>0</v>
      </c>
      <c r="M100" s="16">
        <f t="shared" si="6"/>
        <v>0</v>
      </c>
      <c r="N100" s="13">
        <v>1</v>
      </c>
      <c r="O100" s="13">
        <v>1</v>
      </c>
      <c r="P100" s="13">
        <v>1</v>
      </c>
      <c r="Q100" s="13"/>
      <c r="R100" s="13">
        <v>1</v>
      </c>
      <c r="T100" s="1">
        <f>K100-'[1]Contracts &amp; Invoices'!R107</f>
        <v>0</v>
      </c>
    </row>
    <row r="101" spans="2:20" x14ac:dyDescent="0.25">
      <c r="B101" s="48">
        <v>97</v>
      </c>
      <c r="C101" s="7">
        <v>46081</v>
      </c>
      <c r="D101" s="17">
        <f t="shared" si="4"/>
        <v>46081</v>
      </c>
      <c r="E101" s="11" t="s">
        <v>89</v>
      </c>
      <c r="F101" s="1" t="s">
        <v>87</v>
      </c>
      <c r="G101" s="1" t="s">
        <v>88</v>
      </c>
      <c r="H101" s="9">
        <v>0</v>
      </c>
      <c r="I101" s="9">
        <v>0</v>
      </c>
      <c r="J101" s="9">
        <v>0</v>
      </c>
      <c r="K101" s="1">
        <f t="shared" si="5"/>
        <v>0</v>
      </c>
      <c r="L101" s="9">
        <v>0</v>
      </c>
      <c r="M101" s="16">
        <f t="shared" si="6"/>
        <v>0</v>
      </c>
      <c r="N101" s="13">
        <v>1</v>
      </c>
      <c r="O101" s="13">
        <v>1</v>
      </c>
      <c r="P101" s="13">
        <v>1</v>
      </c>
      <c r="Q101" s="13"/>
      <c r="R101" s="13">
        <v>1</v>
      </c>
      <c r="T101" s="1">
        <f>K101-'[1]Contracts &amp; Invoices'!R108</f>
        <v>0</v>
      </c>
    </row>
    <row r="102" spans="2:20" x14ac:dyDescent="0.25">
      <c r="B102" s="48">
        <v>98</v>
      </c>
      <c r="C102" s="7">
        <v>46081</v>
      </c>
      <c r="D102" s="17">
        <f t="shared" si="4"/>
        <v>46081</v>
      </c>
      <c r="E102" s="11" t="s">
        <v>89</v>
      </c>
      <c r="F102" s="1" t="s">
        <v>87</v>
      </c>
      <c r="G102" s="1" t="s">
        <v>88</v>
      </c>
      <c r="H102" s="9">
        <v>0</v>
      </c>
      <c r="I102" s="9">
        <v>0</v>
      </c>
      <c r="J102" s="9">
        <v>0</v>
      </c>
      <c r="K102" s="1">
        <f t="shared" si="5"/>
        <v>0</v>
      </c>
      <c r="L102" s="9">
        <v>0</v>
      </c>
      <c r="M102" s="16">
        <f t="shared" si="6"/>
        <v>0</v>
      </c>
      <c r="N102" s="13">
        <v>1</v>
      </c>
      <c r="O102" s="13">
        <v>1</v>
      </c>
      <c r="P102" s="13">
        <v>1</v>
      </c>
      <c r="Q102" s="13"/>
      <c r="R102" s="13">
        <v>1</v>
      </c>
      <c r="T102" s="1">
        <f>K102-'[1]Contracts &amp; Invoices'!R109</f>
        <v>0</v>
      </c>
    </row>
    <row r="103" spans="2:20" x14ac:dyDescent="0.25">
      <c r="B103" s="48">
        <v>99</v>
      </c>
      <c r="C103" s="7">
        <v>46081</v>
      </c>
      <c r="D103" s="17">
        <f t="shared" si="4"/>
        <v>46081</v>
      </c>
      <c r="E103" s="11" t="s">
        <v>89</v>
      </c>
      <c r="F103" s="1" t="s">
        <v>87</v>
      </c>
      <c r="G103" s="1" t="s">
        <v>88</v>
      </c>
      <c r="H103" s="9">
        <v>23654.034</v>
      </c>
      <c r="I103" s="9">
        <v>23654.034</v>
      </c>
      <c r="J103" s="9">
        <v>0</v>
      </c>
      <c r="K103" s="1">
        <f t="shared" si="5"/>
        <v>23654.034</v>
      </c>
      <c r="L103" s="9">
        <v>5203.8874800000003</v>
      </c>
      <c r="M103" s="16">
        <f t="shared" si="6"/>
        <v>28857.921480000001</v>
      </c>
      <c r="N103" s="13">
        <v>1</v>
      </c>
      <c r="O103" s="13">
        <v>1</v>
      </c>
      <c r="P103" s="13">
        <v>1</v>
      </c>
      <c r="Q103" s="13"/>
      <c r="R103" s="13">
        <v>1</v>
      </c>
      <c r="T103" s="1">
        <f>K103-'[1]Contracts &amp; Invoices'!R110</f>
        <v>0</v>
      </c>
    </row>
    <row r="104" spans="2:20" x14ac:dyDescent="0.25">
      <c r="B104" s="48">
        <v>100</v>
      </c>
      <c r="C104" s="7">
        <v>46094</v>
      </c>
      <c r="D104" s="17">
        <f t="shared" si="4"/>
        <v>46112</v>
      </c>
      <c r="E104" s="11" t="s">
        <v>77</v>
      </c>
      <c r="F104" s="1" t="s">
        <v>87</v>
      </c>
      <c r="G104" s="1" t="s">
        <v>88</v>
      </c>
      <c r="H104" s="9">
        <v>140739.50258751199</v>
      </c>
      <c r="I104" s="9">
        <v>140739.50258751199</v>
      </c>
      <c r="J104" s="9">
        <v>0</v>
      </c>
      <c r="K104" s="1">
        <f t="shared" si="5"/>
        <v>140739.50258751199</v>
      </c>
      <c r="L104" s="9">
        <v>0</v>
      </c>
      <c r="M104" s="16">
        <f t="shared" si="6"/>
        <v>140739.50258751199</v>
      </c>
      <c r="N104" s="13">
        <v>1</v>
      </c>
      <c r="O104" s="13">
        <v>0</v>
      </c>
      <c r="P104" s="13">
        <v>0</v>
      </c>
      <c r="Q104" s="13"/>
      <c r="R104" s="13">
        <v>0</v>
      </c>
      <c r="T104" s="1">
        <f>K104-'[1]Contracts &amp; Invoices'!R111</f>
        <v>140739.50258751199</v>
      </c>
    </row>
    <row r="105" spans="2:20" x14ac:dyDescent="0.25">
      <c r="B105" s="48">
        <v>101</v>
      </c>
      <c r="C105" s="7">
        <v>46112</v>
      </c>
      <c r="D105" s="17">
        <f t="shared" si="4"/>
        <v>46112</v>
      </c>
      <c r="E105" s="11" t="s">
        <v>90</v>
      </c>
      <c r="F105" s="1" t="s">
        <v>28</v>
      </c>
      <c r="G105" s="1" t="s">
        <v>29</v>
      </c>
      <c r="H105" s="9">
        <v>11426.08695652174</v>
      </c>
      <c r="I105" s="9">
        <v>11426.14</v>
      </c>
      <c r="J105" s="9">
        <v>0</v>
      </c>
      <c r="K105" s="1">
        <f t="shared" si="5"/>
        <v>11426.14</v>
      </c>
      <c r="L105" s="9">
        <v>0</v>
      </c>
      <c r="M105" s="16">
        <f t="shared" si="6"/>
        <v>11426.14</v>
      </c>
      <c r="N105" s="13">
        <v>1</v>
      </c>
      <c r="O105" s="13">
        <v>1</v>
      </c>
      <c r="P105" s="13">
        <v>1</v>
      </c>
      <c r="Q105" s="13"/>
      <c r="R105" s="13">
        <v>0</v>
      </c>
      <c r="T105" s="1">
        <f>K105-'[1]Contracts &amp; Invoices'!R112</f>
        <v>0</v>
      </c>
    </row>
    <row r="106" spans="2:20" x14ac:dyDescent="0.25">
      <c r="B106" s="48">
        <v>102</v>
      </c>
      <c r="C106" s="7">
        <v>46112</v>
      </c>
      <c r="D106" s="17">
        <f t="shared" si="4"/>
        <v>46112</v>
      </c>
      <c r="E106" s="11" t="s">
        <v>90</v>
      </c>
      <c r="F106" s="1" t="s">
        <v>28</v>
      </c>
      <c r="G106" s="1" t="s">
        <v>30</v>
      </c>
      <c r="H106" s="9">
        <v>3130.4347826086955</v>
      </c>
      <c r="I106" s="9">
        <v>3130.56</v>
      </c>
      <c r="J106" s="9">
        <v>0</v>
      </c>
      <c r="K106" s="1">
        <f t="shared" si="5"/>
        <v>3130.56</v>
      </c>
      <c r="L106" s="9">
        <v>0</v>
      </c>
      <c r="M106" s="16">
        <f t="shared" si="6"/>
        <v>3130.56</v>
      </c>
      <c r="N106" s="13">
        <v>1</v>
      </c>
      <c r="O106" s="13">
        <v>1</v>
      </c>
      <c r="P106" s="13">
        <v>1</v>
      </c>
      <c r="Q106" s="13"/>
      <c r="R106" s="13">
        <v>0</v>
      </c>
      <c r="T106" s="1">
        <f>K106-'[1]Contracts &amp; Invoices'!R113</f>
        <v>0</v>
      </c>
    </row>
    <row r="107" spans="2:20" x14ac:dyDescent="0.25">
      <c r="B107" s="48">
        <v>103</v>
      </c>
      <c r="C107" s="7">
        <v>46112</v>
      </c>
      <c r="D107" s="17">
        <f t="shared" si="4"/>
        <v>46112</v>
      </c>
      <c r="E107" s="11" t="s">
        <v>90</v>
      </c>
      <c r="F107" s="1" t="s">
        <v>28</v>
      </c>
      <c r="G107" s="1" t="s">
        <v>69</v>
      </c>
      <c r="H107" s="9">
        <v>6480</v>
      </c>
      <c r="I107" s="9">
        <v>6230.77</v>
      </c>
      <c r="J107" s="9">
        <v>249.23080000000002</v>
      </c>
      <c r="K107" s="1">
        <f t="shared" si="5"/>
        <v>6480.0008000000007</v>
      </c>
      <c r="L107" s="9">
        <v>0</v>
      </c>
      <c r="M107" s="16">
        <f t="shared" si="6"/>
        <v>6480.0008000000007</v>
      </c>
      <c r="N107" s="13">
        <v>1</v>
      </c>
      <c r="O107" s="13">
        <v>1</v>
      </c>
      <c r="P107" s="13">
        <v>1</v>
      </c>
      <c r="Q107" s="13"/>
      <c r="R107" s="13">
        <v>0</v>
      </c>
      <c r="T107" s="1">
        <f>K107-'[1]Contracts &amp; Invoices'!R114</f>
        <v>0</v>
      </c>
    </row>
    <row r="108" spans="2:20" x14ac:dyDescent="0.25">
      <c r="B108" s="48">
        <v>104</v>
      </c>
      <c r="C108" s="7">
        <v>46112</v>
      </c>
      <c r="D108" s="17">
        <f t="shared" si="4"/>
        <v>46112</v>
      </c>
      <c r="E108" s="11" t="s">
        <v>90</v>
      </c>
      <c r="F108" s="1" t="s">
        <v>28</v>
      </c>
      <c r="G108" s="1" t="s">
        <v>70</v>
      </c>
      <c r="H108" s="9">
        <v>4320</v>
      </c>
      <c r="I108" s="9">
        <v>4153.8500000000004</v>
      </c>
      <c r="J108" s="9">
        <v>166.15400000000002</v>
      </c>
      <c r="K108" s="1">
        <f t="shared" si="5"/>
        <v>4320.0040000000008</v>
      </c>
      <c r="L108" s="9">
        <v>0</v>
      </c>
      <c r="M108" s="16">
        <f t="shared" si="6"/>
        <v>4320.0040000000008</v>
      </c>
      <c r="N108" s="13">
        <v>1</v>
      </c>
      <c r="O108" s="13">
        <v>1</v>
      </c>
      <c r="P108" s="13">
        <v>1</v>
      </c>
      <c r="Q108" s="13"/>
      <c r="R108" s="13">
        <v>0</v>
      </c>
      <c r="T108" s="1">
        <f>K108-'[1]Contracts &amp; Invoices'!R115</f>
        <v>0</v>
      </c>
    </row>
    <row r="109" spans="2:20" x14ac:dyDescent="0.25">
      <c r="B109" s="48">
        <v>105</v>
      </c>
      <c r="C109" s="7">
        <v>46112</v>
      </c>
      <c r="D109" s="17">
        <f t="shared" si="4"/>
        <v>46112</v>
      </c>
      <c r="E109" s="11" t="s">
        <v>90</v>
      </c>
      <c r="F109" s="1" t="s">
        <v>28</v>
      </c>
      <c r="G109" s="1" t="s">
        <v>57</v>
      </c>
      <c r="H109" s="9">
        <v>869.56521739130437</v>
      </c>
      <c r="I109" s="9">
        <v>869.43</v>
      </c>
      <c r="J109" s="9">
        <v>0</v>
      </c>
      <c r="K109" s="1">
        <f t="shared" si="5"/>
        <v>869.43</v>
      </c>
      <c r="L109" s="9">
        <v>0</v>
      </c>
      <c r="M109" s="16">
        <f t="shared" si="6"/>
        <v>869.43</v>
      </c>
      <c r="N109" s="13">
        <v>1</v>
      </c>
      <c r="O109" s="13">
        <v>1</v>
      </c>
      <c r="P109" s="13">
        <v>1</v>
      </c>
      <c r="Q109" s="13"/>
      <c r="R109" s="13">
        <v>0</v>
      </c>
      <c r="T109" s="1">
        <f>K109-'[1]Contracts &amp; Invoices'!R116</f>
        <v>0</v>
      </c>
    </row>
    <row r="110" spans="2:20" x14ac:dyDescent="0.25">
      <c r="B110" s="48">
        <v>106</v>
      </c>
      <c r="C110" s="7">
        <v>46112</v>
      </c>
      <c r="D110" s="17">
        <f t="shared" si="4"/>
        <v>46112</v>
      </c>
      <c r="E110" s="11" t="s">
        <v>91</v>
      </c>
      <c r="F110" s="1" t="s">
        <v>87</v>
      </c>
      <c r="G110" s="1" t="s">
        <v>88</v>
      </c>
      <c r="H110" s="9">
        <v>123448.03200000001</v>
      </c>
      <c r="I110" s="9">
        <v>123448.03200000001</v>
      </c>
      <c r="J110" s="9">
        <v>0</v>
      </c>
      <c r="K110" s="1">
        <f t="shared" si="5"/>
        <v>123448.03200000001</v>
      </c>
      <c r="L110" s="9">
        <v>40113.774359999996</v>
      </c>
      <c r="M110" s="16">
        <f t="shared" si="6"/>
        <v>163561.80635999999</v>
      </c>
      <c r="N110" s="13">
        <v>1</v>
      </c>
      <c r="O110" s="13">
        <v>1</v>
      </c>
      <c r="P110" s="13">
        <v>1</v>
      </c>
      <c r="Q110" s="13"/>
      <c r="R110" s="13">
        <v>0</v>
      </c>
      <c r="T110" s="1">
        <f>K110-'[1]Contracts &amp; Invoices'!R117</f>
        <v>0</v>
      </c>
    </row>
    <row r="111" spans="2:20" x14ac:dyDescent="0.25">
      <c r="B111" s="48">
        <v>107</v>
      </c>
      <c r="C111" s="7">
        <v>46112</v>
      </c>
      <c r="D111" s="17">
        <f t="shared" si="4"/>
        <v>46112</v>
      </c>
      <c r="E111" s="11" t="s">
        <v>91</v>
      </c>
      <c r="F111" s="1" t="s">
        <v>87</v>
      </c>
      <c r="G111" s="1" t="s">
        <v>88</v>
      </c>
      <c r="H111" s="9">
        <v>0</v>
      </c>
      <c r="I111" s="9">
        <v>0</v>
      </c>
      <c r="J111" s="9">
        <v>0</v>
      </c>
      <c r="K111" s="1">
        <f t="shared" si="5"/>
        <v>0</v>
      </c>
      <c r="L111" s="9">
        <v>0</v>
      </c>
      <c r="M111" s="16">
        <f t="shared" si="6"/>
        <v>0</v>
      </c>
      <c r="N111" s="13">
        <v>1</v>
      </c>
      <c r="O111" s="13">
        <v>1</v>
      </c>
      <c r="P111" s="13">
        <v>1</v>
      </c>
      <c r="Q111" s="13"/>
      <c r="R111" s="13">
        <v>0</v>
      </c>
      <c r="T111" s="1">
        <f>K111-'[1]Contracts &amp; Invoices'!R118</f>
        <v>0</v>
      </c>
    </row>
    <row r="112" spans="2:20" x14ac:dyDescent="0.25">
      <c r="B112" s="48">
        <v>108</v>
      </c>
      <c r="C112" s="7">
        <v>46112</v>
      </c>
      <c r="D112" s="17">
        <f t="shared" si="4"/>
        <v>46112</v>
      </c>
      <c r="E112" s="11" t="s">
        <v>91</v>
      </c>
      <c r="F112" s="1" t="s">
        <v>87</v>
      </c>
      <c r="G112" s="1" t="s">
        <v>88</v>
      </c>
      <c r="H112" s="9">
        <v>38719.286999999997</v>
      </c>
      <c r="I112" s="9">
        <v>38719.286999999997</v>
      </c>
      <c r="J112" s="9">
        <v>0</v>
      </c>
      <c r="K112" s="1">
        <f t="shared" si="5"/>
        <v>38719.286999999997</v>
      </c>
      <c r="L112" s="9">
        <v>0</v>
      </c>
      <c r="M112" s="16">
        <f t="shared" si="6"/>
        <v>38719.286999999997</v>
      </c>
      <c r="N112" s="13">
        <v>1</v>
      </c>
      <c r="O112" s="13">
        <v>1</v>
      </c>
      <c r="P112" s="13">
        <v>1</v>
      </c>
      <c r="Q112" s="13"/>
      <c r="R112" s="13">
        <v>0</v>
      </c>
      <c r="T112" s="1">
        <f>K112-'[1]Contracts &amp; Invoices'!R119</f>
        <v>0</v>
      </c>
    </row>
    <row r="113" spans="2:20" x14ac:dyDescent="0.25">
      <c r="B113" s="48">
        <v>109</v>
      </c>
      <c r="C113" s="7">
        <v>46112</v>
      </c>
      <c r="D113" s="17">
        <f t="shared" si="4"/>
        <v>46112</v>
      </c>
      <c r="E113" s="11" t="s">
        <v>91</v>
      </c>
      <c r="F113" s="1" t="s">
        <v>87</v>
      </c>
      <c r="G113" s="1" t="s">
        <v>88</v>
      </c>
      <c r="H113" s="9">
        <v>20168.019</v>
      </c>
      <c r="I113" s="9">
        <v>20168.019</v>
      </c>
      <c r="J113" s="9">
        <v>0</v>
      </c>
      <c r="K113" s="1">
        <f t="shared" si="5"/>
        <v>20168.019</v>
      </c>
      <c r="L113" s="9">
        <v>0</v>
      </c>
      <c r="M113" s="16">
        <f t="shared" si="6"/>
        <v>20168.019</v>
      </c>
      <c r="N113" s="13">
        <v>1</v>
      </c>
      <c r="O113" s="13">
        <v>1</v>
      </c>
      <c r="P113" s="13">
        <v>1</v>
      </c>
      <c r="Q113" s="13"/>
      <c r="R113" s="13">
        <v>0</v>
      </c>
      <c r="T113" s="1">
        <f>K113-'[1]Contracts &amp; Invoices'!R120</f>
        <v>0</v>
      </c>
    </row>
    <row r="114" spans="2:20" x14ac:dyDescent="0.25">
      <c r="B114" s="48">
        <v>110</v>
      </c>
      <c r="C114" s="7">
        <v>46112</v>
      </c>
      <c r="D114" s="17">
        <f t="shared" si="4"/>
        <v>46112</v>
      </c>
      <c r="E114" s="11" t="s">
        <v>91</v>
      </c>
      <c r="F114" s="1" t="s">
        <v>87</v>
      </c>
      <c r="G114" s="1" t="s">
        <v>88</v>
      </c>
      <c r="H114" s="9">
        <v>16545.78</v>
      </c>
      <c r="I114" s="9">
        <v>16545.78</v>
      </c>
      <c r="J114" s="9">
        <v>0</v>
      </c>
      <c r="K114" s="1">
        <f t="shared" si="5"/>
        <v>16545.78</v>
      </c>
      <c r="L114" s="9">
        <v>3640.0715999999998</v>
      </c>
      <c r="M114" s="16">
        <f t="shared" si="6"/>
        <v>20185.851599999998</v>
      </c>
      <c r="N114" s="13">
        <v>1</v>
      </c>
      <c r="O114" s="13">
        <v>1</v>
      </c>
      <c r="P114" s="13">
        <v>1</v>
      </c>
      <c r="Q114" s="13"/>
      <c r="R114" s="13">
        <v>0</v>
      </c>
      <c r="T114" s="1">
        <f>K114-'[1]Contracts &amp; Invoices'!R121</f>
        <v>0</v>
      </c>
    </row>
    <row r="115" spans="2:20" x14ac:dyDescent="0.25">
      <c r="B115" s="48">
        <v>111</v>
      </c>
      <c r="C115" s="7">
        <v>46136</v>
      </c>
      <c r="D115" s="17">
        <f t="shared" si="4"/>
        <v>46142</v>
      </c>
      <c r="E115" s="11" t="s">
        <v>92</v>
      </c>
      <c r="F115" s="1" t="s">
        <v>93</v>
      </c>
      <c r="G115" s="1" t="s">
        <v>94</v>
      </c>
      <c r="H115" s="9">
        <v>85317.5</v>
      </c>
      <c r="I115" s="9">
        <v>85317.5</v>
      </c>
      <c r="J115" s="9">
        <v>0</v>
      </c>
      <c r="K115" s="1">
        <f t="shared" si="5"/>
        <v>85317.5</v>
      </c>
      <c r="L115" s="9">
        <v>5011.8599999999997</v>
      </c>
      <c r="M115" s="16">
        <f t="shared" si="6"/>
        <v>90329.36</v>
      </c>
      <c r="N115" s="13">
        <v>1</v>
      </c>
      <c r="O115" s="13">
        <v>1</v>
      </c>
      <c r="P115" s="13">
        <v>1</v>
      </c>
      <c r="Q115" s="13">
        <v>1</v>
      </c>
      <c r="R115" s="13">
        <v>1</v>
      </c>
      <c r="T115" s="1">
        <f>K115-'[1]Contracts &amp; Invoices'!R122</f>
        <v>61451.5</v>
      </c>
    </row>
    <row r="116" spans="2:20" x14ac:dyDescent="0.25">
      <c r="B116" s="48">
        <v>112</v>
      </c>
      <c r="C116" s="7">
        <v>46142</v>
      </c>
      <c r="D116" s="17">
        <f t="shared" si="4"/>
        <v>46142</v>
      </c>
      <c r="E116" s="11" t="s">
        <v>95</v>
      </c>
      <c r="F116" s="1" t="s">
        <v>33</v>
      </c>
      <c r="G116" s="1" t="s">
        <v>96</v>
      </c>
      <c r="H116" s="9">
        <v>7950</v>
      </c>
      <c r="I116" s="9">
        <v>7950</v>
      </c>
      <c r="J116" s="9">
        <v>0</v>
      </c>
      <c r="K116" s="1">
        <f t="shared" si="5"/>
        <v>7950</v>
      </c>
      <c r="L116" s="9">
        <v>0</v>
      </c>
      <c r="M116" s="16">
        <f t="shared" si="6"/>
        <v>7950</v>
      </c>
      <c r="N116" s="13">
        <v>1</v>
      </c>
      <c r="O116" s="13">
        <v>1</v>
      </c>
      <c r="P116" s="13">
        <v>1</v>
      </c>
      <c r="Q116" s="13"/>
      <c r="R116" s="13">
        <v>0</v>
      </c>
      <c r="T116" s="1">
        <f>K116-'[1]Contracts &amp; Invoices'!R123</f>
        <v>0</v>
      </c>
    </row>
    <row r="117" spans="2:20" x14ac:dyDescent="0.25">
      <c r="B117" s="48">
        <v>113</v>
      </c>
      <c r="C117" s="7">
        <v>46142</v>
      </c>
      <c r="D117" s="17">
        <f t="shared" si="4"/>
        <v>46142</v>
      </c>
      <c r="E117" s="11" t="s">
        <v>97</v>
      </c>
      <c r="F117" s="1" t="s">
        <v>33</v>
      </c>
      <c r="G117" s="1" t="s">
        <v>96</v>
      </c>
      <c r="H117" s="9">
        <v>1650</v>
      </c>
      <c r="I117" s="9">
        <v>1650</v>
      </c>
      <c r="J117" s="9">
        <v>0</v>
      </c>
      <c r="K117" s="1">
        <f t="shared" si="5"/>
        <v>1650</v>
      </c>
      <c r="L117" s="9">
        <v>0</v>
      </c>
      <c r="M117" s="16">
        <f t="shared" si="6"/>
        <v>1650</v>
      </c>
      <c r="N117" s="13">
        <v>1</v>
      </c>
      <c r="O117" s="13">
        <v>1</v>
      </c>
      <c r="P117" s="13">
        <v>1</v>
      </c>
      <c r="Q117" s="13"/>
      <c r="R117" s="13"/>
      <c r="T117" s="1">
        <f>K117-'[1]Contracts &amp; Invoices'!R124</f>
        <v>0</v>
      </c>
    </row>
    <row r="118" spans="2:20" x14ac:dyDescent="0.25">
      <c r="B118" s="48">
        <v>114</v>
      </c>
      <c r="C118" s="7">
        <v>46142</v>
      </c>
      <c r="D118" s="17">
        <f t="shared" si="4"/>
        <v>46142</v>
      </c>
      <c r="E118" s="11" t="s">
        <v>98</v>
      </c>
      <c r="F118" s="1" t="s">
        <v>28</v>
      </c>
      <c r="G118" s="1" t="s">
        <v>29</v>
      </c>
      <c r="H118" s="9">
        <v>11426.08695652174</v>
      </c>
      <c r="I118" s="9">
        <v>11426.14</v>
      </c>
      <c r="J118" s="9">
        <v>0</v>
      </c>
      <c r="K118" s="1">
        <f t="shared" si="5"/>
        <v>11426.14</v>
      </c>
      <c r="L118" s="9">
        <v>0</v>
      </c>
      <c r="M118" s="16">
        <f t="shared" si="6"/>
        <v>11426.14</v>
      </c>
      <c r="N118" s="13">
        <v>1</v>
      </c>
      <c r="O118" s="13">
        <v>0</v>
      </c>
      <c r="P118" s="13">
        <v>0</v>
      </c>
      <c r="Q118" s="13"/>
      <c r="R118" s="13">
        <v>0</v>
      </c>
      <c r="T118" s="1">
        <f>K118-'[1]Contracts &amp; Invoices'!R125</f>
        <v>0</v>
      </c>
    </row>
    <row r="119" spans="2:20" x14ac:dyDescent="0.25">
      <c r="B119" s="48">
        <v>115</v>
      </c>
      <c r="C119" s="7">
        <v>46142</v>
      </c>
      <c r="D119" s="17">
        <f t="shared" si="4"/>
        <v>46142</v>
      </c>
      <c r="E119" s="11" t="s">
        <v>98</v>
      </c>
      <c r="F119" s="1" t="s">
        <v>28</v>
      </c>
      <c r="G119" s="1" t="s">
        <v>30</v>
      </c>
      <c r="H119" s="9">
        <v>3130.4347826086955</v>
      </c>
      <c r="I119" s="9">
        <v>3130.56</v>
      </c>
      <c r="J119" s="9">
        <v>0</v>
      </c>
      <c r="K119" s="1">
        <f t="shared" si="5"/>
        <v>3130.56</v>
      </c>
      <c r="L119" s="9">
        <v>0</v>
      </c>
      <c r="M119" s="16">
        <f t="shared" si="6"/>
        <v>3130.56</v>
      </c>
      <c r="N119" s="13">
        <v>1</v>
      </c>
      <c r="O119" s="13">
        <v>0</v>
      </c>
      <c r="P119" s="13">
        <v>0</v>
      </c>
      <c r="Q119" s="13"/>
      <c r="R119" s="13">
        <v>0</v>
      </c>
      <c r="T119" s="1">
        <f>K119-'[1]Contracts &amp; Invoices'!R126</f>
        <v>0</v>
      </c>
    </row>
    <row r="120" spans="2:20" x14ac:dyDescent="0.25">
      <c r="B120" s="48">
        <v>116</v>
      </c>
      <c r="C120" s="7">
        <v>46142</v>
      </c>
      <c r="D120" s="17">
        <f t="shared" si="4"/>
        <v>46142</v>
      </c>
      <c r="E120" s="11" t="s">
        <v>98</v>
      </c>
      <c r="F120" s="1" t="s">
        <v>28</v>
      </c>
      <c r="G120" s="1" t="s">
        <v>69</v>
      </c>
      <c r="H120" s="9">
        <v>6480</v>
      </c>
      <c r="I120" s="9">
        <v>6230.77</v>
      </c>
      <c r="J120" s="9">
        <v>249.23080000000002</v>
      </c>
      <c r="K120" s="1">
        <f t="shared" si="5"/>
        <v>6480.0008000000007</v>
      </c>
      <c r="L120" s="9">
        <v>0</v>
      </c>
      <c r="M120" s="16">
        <f t="shared" si="6"/>
        <v>6480.0008000000007</v>
      </c>
      <c r="N120" s="13">
        <v>1</v>
      </c>
      <c r="O120" s="13">
        <v>0</v>
      </c>
      <c r="P120" s="13">
        <v>0</v>
      </c>
      <c r="Q120" s="13"/>
      <c r="R120" s="13">
        <v>0</v>
      </c>
      <c r="T120" s="1">
        <f>K120-'[1]Contracts &amp; Invoices'!R127</f>
        <v>0</v>
      </c>
    </row>
    <row r="121" spans="2:20" x14ac:dyDescent="0.25">
      <c r="B121" s="48">
        <v>117</v>
      </c>
      <c r="C121" s="7">
        <v>46142</v>
      </c>
      <c r="D121" s="17">
        <f t="shared" si="4"/>
        <v>46142</v>
      </c>
      <c r="E121" s="11" t="s">
        <v>98</v>
      </c>
      <c r="F121" s="1" t="s">
        <v>28</v>
      </c>
      <c r="G121" s="1" t="s">
        <v>70</v>
      </c>
      <c r="H121" s="9">
        <v>4320</v>
      </c>
      <c r="I121" s="9">
        <v>4153.8500000000004</v>
      </c>
      <c r="J121" s="9">
        <v>166.15400000000002</v>
      </c>
      <c r="K121" s="1">
        <f t="shared" si="5"/>
        <v>4320.0040000000008</v>
      </c>
      <c r="L121" s="9">
        <v>0</v>
      </c>
      <c r="M121" s="16">
        <f t="shared" si="6"/>
        <v>4320.0040000000008</v>
      </c>
      <c r="N121" s="13">
        <v>1</v>
      </c>
      <c r="O121" s="13">
        <v>0</v>
      </c>
      <c r="P121" s="13">
        <v>0</v>
      </c>
      <c r="Q121" s="13"/>
      <c r="R121" s="13">
        <v>0</v>
      </c>
      <c r="T121" s="1">
        <f>K121-'[1]Contracts &amp; Invoices'!R128</f>
        <v>0</v>
      </c>
    </row>
    <row r="122" spans="2:20" x14ac:dyDescent="0.25">
      <c r="B122" s="48">
        <v>118</v>
      </c>
      <c r="C122" s="7">
        <v>46142</v>
      </c>
      <c r="D122" s="17">
        <f t="shared" si="4"/>
        <v>46142</v>
      </c>
      <c r="E122" s="11" t="s">
        <v>98</v>
      </c>
      <c r="F122" s="1" t="s">
        <v>28</v>
      </c>
      <c r="G122" s="1" t="s">
        <v>57</v>
      </c>
      <c r="H122" s="9">
        <v>869.56521739130437</v>
      </c>
      <c r="I122" s="9">
        <v>869.43</v>
      </c>
      <c r="J122" s="9">
        <v>0</v>
      </c>
      <c r="K122" s="1">
        <f t="shared" si="5"/>
        <v>869.43</v>
      </c>
      <c r="L122" s="9">
        <v>0</v>
      </c>
      <c r="M122" s="16">
        <f t="shared" si="6"/>
        <v>869.43</v>
      </c>
      <c r="N122" s="13">
        <v>1</v>
      </c>
      <c r="O122" s="13">
        <v>0</v>
      </c>
      <c r="P122" s="13">
        <v>0</v>
      </c>
      <c r="Q122" s="13"/>
      <c r="R122" s="13">
        <v>0</v>
      </c>
      <c r="T122" s="1">
        <f>K122-'[1]Contracts &amp; Invoices'!R129</f>
        <v>0</v>
      </c>
    </row>
    <row r="123" spans="2:20" x14ac:dyDescent="0.25">
      <c r="B123" s="48">
        <v>119</v>
      </c>
      <c r="C123" s="7">
        <v>46142</v>
      </c>
      <c r="D123" s="17">
        <f t="shared" si="4"/>
        <v>46142</v>
      </c>
      <c r="E123" s="11" t="s">
        <v>77</v>
      </c>
      <c r="F123" s="1" t="s">
        <v>81</v>
      </c>
      <c r="G123" s="1" t="s">
        <v>82</v>
      </c>
      <c r="H123" s="9">
        <v>2700</v>
      </c>
      <c r="I123" s="9">
        <v>0</v>
      </c>
      <c r="J123" s="9">
        <v>0</v>
      </c>
      <c r="K123" s="1">
        <f t="shared" si="5"/>
        <v>0</v>
      </c>
      <c r="L123" s="9">
        <v>0</v>
      </c>
      <c r="M123" s="16">
        <f t="shared" si="6"/>
        <v>0</v>
      </c>
      <c r="N123" s="13">
        <v>1</v>
      </c>
      <c r="O123" s="13">
        <v>0</v>
      </c>
      <c r="P123" s="13">
        <v>0</v>
      </c>
      <c r="Q123" s="13"/>
      <c r="R123" s="13">
        <v>0</v>
      </c>
      <c r="T123" s="1">
        <f>K123-'[1]Contracts &amp; Invoices'!R130</f>
        <v>0</v>
      </c>
    </row>
    <row r="124" spans="2:20" x14ac:dyDescent="0.25">
      <c r="B124" s="48">
        <v>120</v>
      </c>
      <c r="C124" s="7">
        <v>46142</v>
      </c>
      <c r="D124" s="17">
        <f t="shared" si="4"/>
        <v>46142</v>
      </c>
      <c r="E124" s="11" t="s">
        <v>77</v>
      </c>
      <c r="F124" s="1" t="s">
        <v>99</v>
      </c>
      <c r="G124" s="1" t="s">
        <v>100</v>
      </c>
      <c r="H124" s="9">
        <v>9000</v>
      </c>
      <c r="I124" s="9">
        <v>0</v>
      </c>
      <c r="J124" s="9">
        <v>0</v>
      </c>
      <c r="K124" s="1">
        <f t="shared" si="5"/>
        <v>0</v>
      </c>
      <c r="L124" s="9">
        <v>0</v>
      </c>
      <c r="M124" s="16">
        <f t="shared" si="6"/>
        <v>0</v>
      </c>
      <c r="N124" s="13">
        <v>1</v>
      </c>
      <c r="O124" s="13">
        <v>0</v>
      </c>
      <c r="P124" s="13">
        <v>0</v>
      </c>
      <c r="Q124" s="13"/>
      <c r="R124" s="13">
        <v>0</v>
      </c>
      <c r="T124" s="1">
        <f>K124-'[1]Contracts &amp; Invoices'!R131</f>
        <v>0</v>
      </c>
    </row>
  </sheetData>
  <conditionalFormatting sqref="N5:R124">
    <cfRule type="cellIs" dxfId="6" priority="7" operator="equal">
      <formula>1</formula>
    </cfRule>
    <cfRule type="cellIs" dxfId="5" priority="8" operator="equal">
      <formula>0</formula>
    </cfRule>
    <cfRule type="cellIs" dxfId="4" priority="9" operator="equal">
      <formula>"Y"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B6DC-9DFF-4B9F-A75D-3AD9943C5870}">
  <sheetPr>
    <pageSetUpPr fitToPage="1"/>
  </sheetPr>
  <dimension ref="B2:AZ28"/>
  <sheetViews>
    <sheetView showGridLines="0" zoomScale="90" zoomScaleNormal="90" workbookViewId="0">
      <pane xSplit="5" ySplit="6" topLeftCell="F7" activePane="bottomRight" state="frozen"/>
      <selection pane="topRight" activeCell="AC16" sqref="AC16"/>
      <selection pane="bottomLeft" activeCell="AC16" sqref="AC16"/>
      <selection pane="bottomRight" activeCell="AC16" sqref="AC16"/>
    </sheetView>
  </sheetViews>
  <sheetFormatPr defaultColWidth="8.85546875" defaultRowHeight="15" x14ac:dyDescent="0.25"/>
  <cols>
    <col min="2" max="2" width="21.42578125" customWidth="1"/>
    <col min="3" max="3" width="0.85546875" customWidth="1"/>
    <col min="4" max="4" width="11.140625" customWidth="1"/>
    <col min="5" max="5" width="0.85546875" customWidth="1"/>
    <col min="6" max="38" width="9.7109375" customWidth="1"/>
    <col min="39" max="39" width="4.42578125" customWidth="1"/>
    <col min="40" max="50" width="10.7109375" customWidth="1"/>
    <col min="51" max="51" width="1" customWidth="1"/>
    <col min="52" max="52" width="11.42578125" customWidth="1"/>
  </cols>
  <sheetData>
    <row r="2" spans="2:52" x14ac:dyDescent="0.25">
      <c r="B2" s="20" t="s">
        <v>101</v>
      </c>
      <c r="C2" s="20"/>
      <c r="D2" s="52">
        <v>46112</v>
      </c>
    </row>
    <row r="3" spans="2:52" x14ac:dyDescent="0.25">
      <c r="B3" s="37" t="s">
        <v>102</v>
      </c>
      <c r="D3" s="34"/>
      <c r="F3" s="31">
        <v>0</v>
      </c>
      <c r="G3" s="31">
        <v>0</v>
      </c>
      <c r="H3" s="31">
        <v>0</v>
      </c>
      <c r="I3" s="31">
        <f>F3+1</f>
        <v>1</v>
      </c>
      <c r="J3" s="31">
        <f t="shared" ref="J3:AL3" si="0">G3+1</f>
        <v>1</v>
      </c>
      <c r="K3" s="31">
        <f t="shared" si="0"/>
        <v>1</v>
      </c>
      <c r="L3" s="31">
        <f t="shared" si="0"/>
        <v>2</v>
      </c>
      <c r="M3" s="31">
        <f t="shared" si="0"/>
        <v>2</v>
      </c>
      <c r="N3" s="31">
        <f t="shared" si="0"/>
        <v>2</v>
      </c>
      <c r="O3" s="31">
        <f t="shared" si="0"/>
        <v>3</v>
      </c>
      <c r="P3" s="31">
        <f t="shared" si="0"/>
        <v>3</v>
      </c>
      <c r="Q3" s="31">
        <f t="shared" si="0"/>
        <v>3</v>
      </c>
      <c r="R3" s="31">
        <f t="shared" si="0"/>
        <v>4</v>
      </c>
      <c r="S3" s="31">
        <f t="shared" si="0"/>
        <v>4</v>
      </c>
      <c r="T3" s="31">
        <f t="shared" si="0"/>
        <v>4</v>
      </c>
      <c r="U3" s="31">
        <f t="shared" si="0"/>
        <v>5</v>
      </c>
      <c r="V3" s="31">
        <f t="shared" si="0"/>
        <v>5</v>
      </c>
      <c r="W3" s="31">
        <f t="shared" si="0"/>
        <v>5</v>
      </c>
      <c r="X3" s="31">
        <f t="shared" si="0"/>
        <v>6</v>
      </c>
      <c r="Y3" s="31">
        <f t="shared" si="0"/>
        <v>6</v>
      </c>
      <c r="Z3" s="31">
        <f t="shared" si="0"/>
        <v>6</v>
      </c>
      <c r="AA3" s="31">
        <f t="shared" si="0"/>
        <v>7</v>
      </c>
      <c r="AB3" s="31">
        <f t="shared" si="0"/>
        <v>7</v>
      </c>
      <c r="AC3" s="31">
        <f t="shared" si="0"/>
        <v>7</v>
      </c>
      <c r="AD3" s="31">
        <f t="shared" si="0"/>
        <v>8</v>
      </c>
      <c r="AE3" s="31">
        <f t="shared" si="0"/>
        <v>8</v>
      </c>
      <c r="AF3" s="31">
        <f t="shared" si="0"/>
        <v>8</v>
      </c>
      <c r="AG3" s="31">
        <f t="shared" si="0"/>
        <v>9</v>
      </c>
      <c r="AH3" s="31">
        <f t="shared" si="0"/>
        <v>9</v>
      </c>
      <c r="AI3" s="31">
        <f t="shared" si="0"/>
        <v>9</v>
      </c>
      <c r="AJ3" s="31">
        <f t="shared" si="0"/>
        <v>10</v>
      </c>
      <c r="AK3" s="31">
        <f t="shared" si="0"/>
        <v>10</v>
      </c>
      <c r="AL3" s="31">
        <f t="shared" si="0"/>
        <v>10</v>
      </c>
      <c r="AN3" s="40">
        <v>0</v>
      </c>
      <c r="AO3" s="40">
        <f>AN3+1</f>
        <v>1</v>
      </c>
      <c r="AP3" s="40">
        <f t="shared" ref="AP3:AX3" si="1">AO3+1</f>
        <v>2</v>
      </c>
      <c r="AQ3" s="40">
        <f t="shared" si="1"/>
        <v>3</v>
      </c>
      <c r="AR3" s="40">
        <f t="shared" si="1"/>
        <v>4</v>
      </c>
      <c r="AS3" s="40">
        <f t="shared" si="1"/>
        <v>5</v>
      </c>
      <c r="AT3" s="40">
        <f t="shared" si="1"/>
        <v>6</v>
      </c>
      <c r="AU3" s="40">
        <f t="shared" si="1"/>
        <v>7</v>
      </c>
      <c r="AV3" s="40">
        <f t="shared" si="1"/>
        <v>8</v>
      </c>
      <c r="AW3" s="40">
        <f t="shared" si="1"/>
        <v>9</v>
      </c>
      <c r="AX3" s="40">
        <f t="shared" si="1"/>
        <v>10</v>
      </c>
      <c r="AZ3" s="40"/>
    </row>
    <row r="4" spans="2:52" x14ac:dyDescent="0.25">
      <c r="B4" s="38" t="s">
        <v>103</v>
      </c>
      <c r="D4" s="35"/>
      <c r="F4" s="32">
        <v>45658</v>
      </c>
      <c r="G4" s="32">
        <f>F5+1</f>
        <v>45689</v>
      </c>
      <c r="H4" s="32">
        <f t="shared" ref="H4:AL4" si="2">G5+1</f>
        <v>45717</v>
      </c>
      <c r="I4" s="32">
        <f t="shared" si="2"/>
        <v>45748</v>
      </c>
      <c r="J4" s="32">
        <f t="shared" si="2"/>
        <v>45778</v>
      </c>
      <c r="K4" s="32">
        <f t="shared" si="2"/>
        <v>45809</v>
      </c>
      <c r="L4" s="32">
        <f t="shared" si="2"/>
        <v>45839</v>
      </c>
      <c r="M4" s="32">
        <f t="shared" si="2"/>
        <v>45870</v>
      </c>
      <c r="N4" s="32">
        <f t="shared" si="2"/>
        <v>45901</v>
      </c>
      <c r="O4" s="32">
        <f t="shared" si="2"/>
        <v>45931</v>
      </c>
      <c r="P4" s="32">
        <f t="shared" si="2"/>
        <v>45962</v>
      </c>
      <c r="Q4" s="32">
        <f t="shared" si="2"/>
        <v>45992</v>
      </c>
      <c r="R4" s="32">
        <f t="shared" si="2"/>
        <v>46023</v>
      </c>
      <c r="S4" s="32">
        <f t="shared" si="2"/>
        <v>46054</v>
      </c>
      <c r="T4" s="32">
        <f t="shared" si="2"/>
        <v>46082</v>
      </c>
      <c r="U4" s="32">
        <f t="shared" si="2"/>
        <v>46113</v>
      </c>
      <c r="V4" s="32">
        <f t="shared" si="2"/>
        <v>46143</v>
      </c>
      <c r="W4" s="32">
        <f t="shared" si="2"/>
        <v>46174</v>
      </c>
      <c r="X4" s="32">
        <f t="shared" si="2"/>
        <v>46204</v>
      </c>
      <c r="Y4" s="32">
        <f t="shared" si="2"/>
        <v>46235</v>
      </c>
      <c r="Z4" s="32">
        <f t="shared" si="2"/>
        <v>46266</v>
      </c>
      <c r="AA4" s="32">
        <f t="shared" si="2"/>
        <v>46296</v>
      </c>
      <c r="AB4" s="32">
        <f t="shared" si="2"/>
        <v>46327</v>
      </c>
      <c r="AC4" s="32">
        <f t="shared" si="2"/>
        <v>46357</v>
      </c>
      <c r="AD4" s="32">
        <f t="shared" si="2"/>
        <v>46388</v>
      </c>
      <c r="AE4" s="32">
        <f t="shared" si="2"/>
        <v>46419</v>
      </c>
      <c r="AF4" s="32">
        <f t="shared" si="2"/>
        <v>46447</v>
      </c>
      <c r="AG4" s="32">
        <f t="shared" si="2"/>
        <v>46478</v>
      </c>
      <c r="AH4" s="32">
        <f t="shared" si="2"/>
        <v>46508</v>
      </c>
      <c r="AI4" s="32">
        <f t="shared" si="2"/>
        <v>46539</v>
      </c>
      <c r="AJ4" s="32">
        <f t="shared" si="2"/>
        <v>46569</v>
      </c>
      <c r="AK4" s="32">
        <f t="shared" si="2"/>
        <v>46600</v>
      </c>
      <c r="AL4" s="32">
        <f t="shared" si="2"/>
        <v>46631</v>
      </c>
      <c r="AN4" s="41">
        <v>45658</v>
      </c>
      <c r="AO4" s="41">
        <f>AN5+1</f>
        <v>45748</v>
      </c>
      <c r="AP4" s="41">
        <f t="shared" ref="AP4:AX4" si="3">AO5+1</f>
        <v>45839</v>
      </c>
      <c r="AQ4" s="41">
        <f t="shared" si="3"/>
        <v>45931</v>
      </c>
      <c r="AR4" s="41">
        <f t="shared" si="3"/>
        <v>46023</v>
      </c>
      <c r="AS4" s="41">
        <f t="shared" si="3"/>
        <v>46113</v>
      </c>
      <c r="AT4" s="41">
        <f t="shared" si="3"/>
        <v>46204</v>
      </c>
      <c r="AU4" s="41">
        <f t="shared" si="3"/>
        <v>46296</v>
      </c>
      <c r="AV4" s="41">
        <f t="shared" si="3"/>
        <v>46388</v>
      </c>
      <c r="AW4" s="41">
        <f t="shared" si="3"/>
        <v>46478</v>
      </c>
      <c r="AX4" s="41">
        <f t="shared" si="3"/>
        <v>46569</v>
      </c>
      <c r="AZ4" s="41"/>
    </row>
    <row r="5" spans="2:52" x14ac:dyDescent="0.25">
      <c r="B5" s="39" t="s">
        <v>104</v>
      </c>
      <c r="C5" s="20"/>
      <c r="D5" s="36" t="s">
        <v>0</v>
      </c>
      <c r="E5" s="20"/>
      <c r="F5" s="33">
        <v>45688</v>
      </c>
      <c r="G5" s="33">
        <f>EOMONTH(F5,1)</f>
        <v>45716</v>
      </c>
      <c r="H5" s="33">
        <f t="shared" ref="H5:AL5" si="4">EOMONTH(G5,1)</f>
        <v>45747</v>
      </c>
      <c r="I5" s="33">
        <f t="shared" si="4"/>
        <v>45777</v>
      </c>
      <c r="J5" s="33">
        <f t="shared" si="4"/>
        <v>45808</v>
      </c>
      <c r="K5" s="33">
        <f t="shared" si="4"/>
        <v>45838</v>
      </c>
      <c r="L5" s="33">
        <f t="shared" si="4"/>
        <v>45869</v>
      </c>
      <c r="M5" s="33">
        <f t="shared" si="4"/>
        <v>45900</v>
      </c>
      <c r="N5" s="33">
        <f t="shared" si="4"/>
        <v>45930</v>
      </c>
      <c r="O5" s="33">
        <f t="shared" si="4"/>
        <v>45961</v>
      </c>
      <c r="P5" s="33">
        <f t="shared" si="4"/>
        <v>45991</v>
      </c>
      <c r="Q5" s="33">
        <f t="shared" si="4"/>
        <v>46022</v>
      </c>
      <c r="R5" s="33">
        <f t="shared" si="4"/>
        <v>46053</v>
      </c>
      <c r="S5" s="33">
        <f t="shared" si="4"/>
        <v>46081</v>
      </c>
      <c r="T5" s="33">
        <f t="shared" si="4"/>
        <v>46112</v>
      </c>
      <c r="U5" s="33">
        <f t="shared" si="4"/>
        <v>46142</v>
      </c>
      <c r="V5" s="33">
        <f t="shared" si="4"/>
        <v>46173</v>
      </c>
      <c r="W5" s="33">
        <f t="shared" si="4"/>
        <v>46203</v>
      </c>
      <c r="X5" s="33">
        <f t="shared" si="4"/>
        <v>46234</v>
      </c>
      <c r="Y5" s="33">
        <f t="shared" si="4"/>
        <v>46265</v>
      </c>
      <c r="Z5" s="33">
        <f t="shared" si="4"/>
        <v>46295</v>
      </c>
      <c r="AA5" s="33">
        <f t="shared" si="4"/>
        <v>46326</v>
      </c>
      <c r="AB5" s="33">
        <f t="shared" si="4"/>
        <v>46356</v>
      </c>
      <c r="AC5" s="33">
        <f t="shared" si="4"/>
        <v>46387</v>
      </c>
      <c r="AD5" s="33">
        <f t="shared" si="4"/>
        <v>46418</v>
      </c>
      <c r="AE5" s="33">
        <f t="shared" si="4"/>
        <v>46446</v>
      </c>
      <c r="AF5" s="33">
        <f t="shared" si="4"/>
        <v>46477</v>
      </c>
      <c r="AG5" s="33">
        <f t="shared" si="4"/>
        <v>46507</v>
      </c>
      <c r="AH5" s="33">
        <f t="shared" si="4"/>
        <v>46538</v>
      </c>
      <c r="AI5" s="33">
        <f t="shared" si="4"/>
        <v>46568</v>
      </c>
      <c r="AJ5" s="33">
        <f t="shared" si="4"/>
        <v>46599</v>
      </c>
      <c r="AK5" s="33">
        <f t="shared" si="4"/>
        <v>46630</v>
      </c>
      <c r="AL5" s="33">
        <f t="shared" si="4"/>
        <v>46660</v>
      </c>
      <c r="AN5" s="42">
        <v>45747</v>
      </c>
      <c r="AO5" s="42">
        <f>EOMONTH(AN5,3)</f>
        <v>45838</v>
      </c>
      <c r="AP5" s="42">
        <f t="shared" ref="AP5:AS5" si="5">EOMONTH(AO5,3)</f>
        <v>45930</v>
      </c>
      <c r="AQ5" s="42">
        <f t="shared" si="5"/>
        <v>46022</v>
      </c>
      <c r="AR5" s="42">
        <f t="shared" si="5"/>
        <v>46112</v>
      </c>
      <c r="AS5" s="42">
        <f t="shared" si="5"/>
        <v>46203</v>
      </c>
      <c r="AT5" s="42">
        <f t="shared" ref="AT5:AX5" si="6">EOMONTH(AS5,3)</f>
        <v>46295</v>
      </c>
      <c r="AU5" s="42">
        <f t="shared" si="6"/>
        <v>46387</v>
      </c>
      <c r="AV5" s="42">
        <f t="shared" si="6"/>
        <v>46477</v>
      </c>
      <c r="AW5" s="42">
        <f t="shared" si="6"/>
        <v>46568</v>
      </c>
      <c r="AX5" s="42">
        <f t="shared" si="6"/>
        <v>46660</v>
      </c>
      <c r="AZ5" s="42"/>
    </row>
    <row r="7" spans="2:52" x14ac:dyDescent="0.25">
      <c r="B7" s="21" t="s">
        <v>105</v>
      </c>
      <c r="D7" s="1">
        <f>SUM(F7:AL7)</f>
        <v>840931.24399999995</v>
      </c>
      <c r="F7" s="24">
        <f>SUMIFS(Invoices!$K$5:$K$2998,Invoices!$D$5:$D$2998,F$5,Invoices!$R$5:$R$2998,1)*(F$5&lt;=$D$2)</f>
        <v>0</v>
      </c>
      <c r="G7" s="24">
        <f>SUMIFS(Invoices!$K$5:$K$2998,Invoices!$D$5:$D$2998,G$5,Invoices!$R$5:$R$2998,1)*(G$5&lt;=$D$2)</f>
        <v>4000</v>
      </c>
      <c r="H7" s="24">
        <f>SUMIFS(Invoices!$K$5:$K$2998,Invoices!$D$5:$D$2998,H$5,Invoices!$R$5:$R$2998,1)*(H$5&lt;=$D$2)</f>
        <v>5100</v>
      </c>
      <c r="I7" s="24">
        <f>SUMIFS(Invoices!$K$5:$K$2998,Invoices!$D$5:$D$2998,I$5,Invoices!$R$5:$R$2998,1)*(I$5&lt;=$D$2)</f>
        <v>0</v>
      </c>
      <c r="J7" s="24">
        <f>SUMIFS(Invoices!$K$5:$K$2998,Invoices!$D$5:$D$2998,J$5,Invoices!$R$5:$R$2998,1)*(J$5&lt;=$D$2)</f>
        <v>64200</v>
      </c>
      <c r="K7" s="24">
        <f>SUMIFS(Invoices!$K$5:$K$2998,Invoices!$D$5:$D$2998,K$5,Invoices!$R$5:$R$2998,1)*(K$5&lt;=$D$2)</f>
        <v>173392.79</v>
      </c>
      <c r="L7" s="24">
        <f>SUMIFS(Invoices!$K$5:$K$2998,Invoices!$D$5:$D$2998,L$5,Invoices!$R$5:$R$2998,1)*(L$5&lt;=$D$2)</f>
        <v>16000</v>
      </c>
      <c r="M7" s="24">
        <f>SUMIFS(Invoices!$K$5:$K$2998,Invoices!$D$5:$D$2998,M$5,Invoices!$R$5:$R$2998,1)*(M$5&lt;=$D$2)</f>
        <v>6802</v>
      </c>
      <c r="N7" s="24">
        <f>SUMIFS(Invoices!$K$5:$K$2998,Invoices!$D$5:$D$2998,N$5,Invoices!$R$5:$R$2998,1)*(N$5&lt;=$D$2)</f>
        <v>329705.82608695648</v>
      </c>
      <c r="O7" s="24">
        <f>SUMIFS(Invoices!$K$5:$K$2998,Invoices!$D$5:$D$2998,O$5,Invoices!$R$5:$R$2998,1)*(O$5&lt;=$D$2)</f>
        <v>16498.08695652174</v>
      </c>
      <c r="P7" s="24">
        <f>SUMIFS(Invoices!$K$5:$K$2998,Invoices!$D$5:$D$2998,P$5,Invoices!$R$5:$R$2998,1)*(P$5&lt;=$D$2)</f>
        <v>47974.086956521736</v>
      </c>
      <c r="Q7" s="24">
        <f>SUMIFS(Invoices!$K$5:$K$2998,Invoices!$D$5:$D$2998,Q$5,Invoices!$R$5:$R$2998,1)*(Q$5&lt;=$D$2)</f>
        <v>11936.24</v>
      </c>
      <c r="R7" s="24">
        <f>SUMIFS(Invoices!$K$5:$K$2998,Invoices!$D$5:$D$2998,R$5,Invoices!$R$5:$R$2998,1)*(R$5&lt;=$D$2)</f>
        <v>2052.02</v>
      </c>
      <c r="S7" s="24">
        <f>SUMIFS(Invoices!$K$5:$K$2998,Invoices!$D$5:$D$2998,S$5,Invoices!$R$5:$R$2998,1)*(S$5&lt;=$D$2)</f>
        <v>163270.19399999996</v>
      </c>
      <c r="T7" s="24">
        <f>SUMIFS(Invoices!$K$5:$K$2998,Invoices!$D$5:$D$2998,T$5,Invoices!$R$5:$R$2998,1)*(T$5&lt;=$D$2)</f>
        <v>0</v>
      </c>
      <c r="U7" s="1">
        <f>SUMIFS(Invoices!$K$5:$K$2998,Invoices!$D$5:$D$2998,U$5,Invoices!$R$5:$R$2998,1)*(U$5&lt;=$D$2)</f>
        <v>0</v>
      </c>
      <c r="V7" s="1">
        <f>SUMIFS(Invoices!$K$5:$K$2998,Invoices!$D$5:$D$2998,V$5,Invoices!$R$5:$R$2998,1)*(V$5&lt;=$D$2)</f>
        <v>0</v>
      </c>
      <c r="W7" s="1">
        <f>SUMIFS(Invoices!$K$5:$K$2998,Invoices!$D$5:$D$2998,W$5,Invoices!$R$5:$R$2998,1)*(W$5&lt;=$D$2)</f>
        <v>0</v>
      </c>
      <c r="X7" s="1">
        <f>SUMIFS(Invoices!$K$5:$K$2998,Invoices!$D$5:$D$2998,X$5,Invoices!$R$5:$R$2998,1)*(X$5&lt;=$D$2)</f>
        <v>0</v>
      </c>
      <c r="Y7" s="1">
        <f>SUMIFS(Invoices!$K$5:$K$2998,Invoices!$D$5:$D$2998,Y$5,Invoices!$R$5:$R$2998,1)*(Y$5&lt;=$D$2)</f>
        <v>0</v>
      </c>
      <c r="Z7" s="1">
        <f>SUMIFS(Invoices!$K$5:$K$2998,Invoices!$D$5:$D$2998,Z$5,Invoices!$R$5:$R$2998,1)*(Z$5&lt;=$D$2)</f>
        <v>0</v>
      </c>
      <c r="AA7" s="1">
        <f>SUMIFS(Invoices!$K$5:$K$2998,Invoices!$D$5:$D$2998,AA$5,Invoices!$R$5:$R$2998,1)*(AA$5&lt;=$D$2)</f>
        <v>0</v>
      </c>
      <c r="AB7" s="1">
        <f>SUMIFS(Invoices!$K$5:$K$2998,Invoices!$D$5:$D$2998,AB$5,Invoices!$R$5:$R$2998,1)*(AB$5&lt;=$D$2)</f>
        <v>0</v>
      </c>
      <c r="AC7" s="1">
        <f>SUMIFS(Invoices!$K$5:$K$2998,Invoices!$D$5:$D$2998,AC$5,Invoices!$R$5:$R$2998,1)*(AC$5&lt;=$D$2)</f>
        <v>0</v>
      </c>
      <c r="AD7" s="1">
        <f>SUMIFS(Invoices!$K$5:$K$2998,Invoices!$D$5:$D$2998,AD$5,Invoices!$R$5:$R$2998,1)*(AD$5&lt;=$D$2)</f>
        <v>0</v>
      </c>
      <c r="AE7" s="1">
        <f>SUMIFS(Invoices!$K$5:$K$2998,Invoices!$D$5:$D$2998,AE$5,Invoices!$R$5:$R$2998,1)*(AE$5&lt;=$D$2)</f>
        <v>0</v>
      </c>
      <c r="AF7" s="1">
        <f>SUMIFS(Invoices!$K$5:$K$2998,Invoices!$D$5:$D$2998,AF$5,Invoices!$R$5:$R$2998,1)*(AF$5&lt;=$D$2)</f>
        <v>0</v>
      </c>
      <c r="AG7" s="1">
        <f>SUMIFS(Invoices!$K$5:$K$2998,Invoices!$D$5:$D$2998,AG$5,Invoices!$R$5:$R$2998,1)*(AG$5&lt;=$D$2)</f>
        <v>0</v>
      </c>
      <c r="AH7" s="1">
        <f>SUMIFS(Invoices!$K$5:$K$2998,Invoices!$D$5:$D$2998,AH$5,Invoices!$R$5:$R$2998,1)*(AH$5&lt;=$D$2)</f>
        <v>0</v>
      </c>
      <c r="AI7" s="1">
        <f>SUMIFS(Invoices!$K$5:$K$2998,Invoices!$D$5:$D$2998,AI$5,Invoices!$R$5:$R$2998,1)*(AI$5&lt;=$D$2)</f>
        <v>0</v>
      </c>
      <c r="AJ7" s="1">
        <f>SUMIFS(Invoices!$K$5:$K$2998,Invoices!$D$5:$D$2998,AJ$5,Invoices!$R$5:$R$2998,1)*(AJ$5&lt;=$D$2)</f>
        <v>0</v>
      </c>
      <c r="AK7" s="1">
        <f>SUMIFS(Invoices!$K$5:$K$2998,Invoices!$D$5:$D$2998,AK$5,Invoices!$R$5:$R$2998,1)*(AK$5&lt;=$D$2)</f>
        <v>0</v>
      </c>
      <c r="AL7" s="1">
        <f>SUMIFS(Invoices!$K$5:$K$2998,Invoices!$D$5:$D$2998,AL$5,Invoices!$R$5:$R$2998,1)*(AL$5&lt;=$D$2)</f>
        <v>0</v>
      </c>
      <c r="AN7" s="24">
        <f>-SUMIFS($F7:$AL7,$F$3:$AL$3,AN$3)</f>
        <v>-9100</v>
      </c>
      <c r="AO7" s="24">
        <f t="shared" ref="AO7:AX8" si="7">-SUMIFS($F7:$AL7,$F$3:$AL$3,AO$3)</f>
        <v>-237592.79</v>
      </c>
      <c r="AP7" s="24">
        <f t="shared" si="7"/>
        <v>-352507.82608695648</v>
      </c>
      <c r="AQ7" s="24">
        <f t="shared" si="7"/>
        <v>-76408.413913043478</v>
      </c>
      <c r="AR7" s="24">
        <f>-SUMIFS($F7:$AL7,$F$3:$AL$3,AR$3)</f>
        <v>-165322.21399999995</v>
      </c>
      <c r="AS7" s="1">
        <f t="shared" si="7"/>
        <v>0</v>
      </c>
      <c r="AT7" s="1">
        <f t="shared" si="7"/>
        <v>0</v>
      </c>
      <c r="AU7" s="1">
        <f t="shared" si="7"/>
        <v>0</v>
      </c>
      <c r="AV7" s="1">
        <f t="shared" si="7"/>
        <v>0</v>
      </c>
      <c r="AW7" s="1">
        <f t="shared" si="7"/>
        <v>0</v>
      </c>
      <c r="AX7" s="1">
        <f t="shared" si="7"/>
        <v>0</v>
      </c>
      <c r="AZ7" s="1">
        <f>SUM(AN7:AX7)</f>
        <v>-840931.24399999983</v>
      </c>
    </row>
    <row r="8" spans="2:52" x14ac:dyDescent="0.25">
      <c r="B8" s="22" t="s">
        <v>106</v>
      </c>
      <c r="D8" s="18">
        <f>SUM(F8:AL8)</f>
        <v>182741.09893217392</v>
      </c>
      <c r="F8" s="25">
        <f>SUMIFS(Invoices!$L$5:$L$2998,Invoices!$D$5:$D$2998,F$5,Invoices!$R$5:$R$2998,1)*(F$5&lt;=$D$2)</f>
        <v>0</v>
      </c>
      <c r="G8" s="25">
        <f>SUMIFS(Invoices!$L$5:$L$2998,Invoices!$D$5:$D$2998,G$5,Invoices!$R$5:$R$2998,1)*(G$5&lt;=$D$2)</f>
        <v>0</v>
      </c>
      <c r="H8" s="25">
        <f>SUMIFS(Invoices!$L$5:$L$2998,Invoices!$D$5:$D$2998,H$5,Invoices!$R$5:$R$2998,1)*(H$5&lt;=$D$2)</f>
        <v>572</v>
      </c>
      <c r="I8" s="25">
        <f>SUMIFS(Invoices!$L$5:$L$2998,Invoices!$D$5:$D$2998,I$5,Invoices!$R$5:$R$2998,1)*(I$5&lt;=$D$2)</f>
        <v>0</v>
      </c>
      <c r="J8" s="25">
        <f>SUMIFS(Invoices!$L$5:$L$2998,Invoices!$D$5:$D$2998,J$5,Invoices!$R$5:$R$2998,1)*(J$5&lt;=$D$2)</f>
        <v>14124</v>
      </c>
      <c r="K8" s="25">
        <f>SUMIFS(Invoices!$L$5:$L$2998,Invoices!$D$5:$D$2998,K$5,Invoices!$R$5:$R$2998,1)*(K$5&lt;=$D$2)</f>
        <v>38146.413800000002</v>
      </c>
      <c r="L8" s="25">
        <f>SUMIFS(Invoices!$L$5:$L$2998,Invoices!$D$5:$D$2998,L$5,Invoices!$R$5:$R$2998,1)*(L$5&lt;=$D$2)</f>
        <v>3520</v>
      </c>
      <c r="M8" s="25">
        <f>SUMIFS(Invoices!$L$5:$L$2998,Invoices!$D$5:$D$2998,M$5,Invoices!$R$5:$R$2998,1)*(M$5&lt;=$D$2)</f>
        <v>0</v>
      </c>
      <c r="N8" s="25">
        <f>SUMIFS(Invoices!$L$5:$L$2998,Invoices!$D$5:$D$2998,N$5,Invoices!$R$5:$R$2998,1)*(N$5&lt;=$D$2)</f>
        <v>74161.177391304358</v>
      </c>
      <c r="O8" s="25">
        <f>SUMIFS(Invoices!$L$5:$L$2998,Invoices!$D$5:$D$2998,O$5,Invoices!$R$5:$R$2998,1)*(O$5&lt;=$D$2)</f>
        <v>3393.739130434783</v>
      </c>
      <c r="P8" s="25">
        <f>SUMIFS(Invoices!$L$5:$L$2998,Invoices!$D$5:$D$2998,P$5,Invoices!$R$5:$R$2998,1)*(P$5&lt;=$D$2)</f>
        <v>10116.939130434781</v>
      </c>
      <c r="Q8" s="25">
        <f>SUMIFS(Invoices!$L$5:$L$2998,Invoices!$D$5:$D$2998,Q$5,Invoices!$R$5:$R$2998,1)*(Q$5&lt;=$D$2)</f>
        <v>2619.3728000000001</v>
      </c>
      <c r="R8" s="25">
        <f>SUMIFS(Invoices!$L$5:$L$2998,Invoices!$D$5:$D$2998,R$5,Invoices!$R$5:$R$2998,1)*(R$5&lt;=$D$2)</f>
        <v>168.01400000000001</v>
      </c>
      <c r="S8" s="25">
        <f>SUMIFS(Invoices!$L$5:$L$2998,Invoices!$D$5:$D$2998,S$5,Invoices!$R$5:$R$2998,1)*(S$5&lt;=$D$2)</f>
        <v>35919.442679999993</v>
      </c>
      <c r="T8" s="25">
        <f>SUMIFS(Invoices!$L$5:$L$2998,Invoices!$D$5:$D$2998,T$5,Invoices!$R$5:$R$2998,1)*(T$5&lt;=$D$2)</f>
        <v>0</v>
      </c>
      <c r="U8" s="18">
        <f>SUMIFS(Invoices!$L$5:$L$2998,Invoices!$D$5:$D$2998,U$5,Invoices!$R$5:$R$2998,1)*(U$5&lt;=$D$2)</f>
        <v>0</v>
      </c>
      <c r="V8" s="18">
        <f>SUMIFS(Invoices!$L$5:$L$2998,Invoices!$D$5:$D$2998,V$5,Invoices!$R$5:$R$2998,1)*(V$5&lt;=$D$2)</f>
        <v>0</v>
      </c>
      <c r="W8" s="18">
        <f>SUMIFS(Invoices!$L$5:$L$2998,Invoices!$D$5:$D$2998,W$5,Invoices!$R$5:$R$2998,1)*(W$5&lt;=$D$2)</f>
        <v>0</v>
      </c>
      <c r="X8" s="18">
        <f>SUMIFS(Invoices!$L$5:$L$2998,Invoices!$D$5:$D$2998,X$5,Invoices!$R$5:$R$2998,1)*(X$5&lt;=$D$2)</f>
        <v>0</v>
      </c>
      <c r="Y8" s="18">
        <f>SUMIFS(Invoices!$L$5:$L$2998,Invoices!$D$5:$D$2998,Y$5,Invoices!$R$5:$R$2998,1)*(Y$5&lt;=$D$2)</f>
        <v>0</v>
      </c>
      <c r="Z8" s="18">
        <f>SUMIFS(Invoices!$L$5:$L$2998,Invoices!$D$5:$D$2998,Z$5,Invoices!$R$5:$R$2998,1)*(Z$5&lt;=$D$2)</f>
        <v>0</v>
      </c>
      <c r="AA8" s="18">
        <f>SUMIFS(Invoices!$L$5:$L$2998,Invoices!$D$5:$D$2998,AA$5,Invoices!$R$5:$R$2998,1)*(AA$5&lt;=$D$2)</f>
        <v>0</v>
      </c>
      <c r="AB8" s="18">
        <f>SUMIFS(Invoices!$L$5:$L$2998,Invoices!$D$5:$D$2998,AB$5,Invoices!$R$5:$R$2998,1)*(AB$5&lt;=$D$2)</f>
        <v>0</v>
      </c>
      <c r="AC8" s="18">
        <f>SUMIFS(Invoices!$L$5:$L$2998,Invoices!$D$5:$D$2998,AC$5,Invoices!$R$5:$R$2998,1)*(AC$5&lt;=$D$2)</f>
        <v>0</v>
      </c>
      <c r="AD8" s="18">
        <f>SUMIFS(Invoices!$L$5:$L$2998,Invoices!$D$5:$D$2998,AD$5,Invoices!$R$5:$R$2998,1)*(AD$5&lt;=$D$2)</f>
        <v>0</v>
      </c>
      <c r="AE8" s="18">
        <f>SUMIFS(Invoices!$L$5:$L$2998,Invoices!$D$5:$D$2998,AE$5,Invoices!$R$5:$R$2998,1)*(AE$5&lt;=$D$2)</f>
        <v>0</v>
      </c>
      <c r="AF8" s="18">
        <f>SUMIFS(Invoices!$L$5:$L$2998,Invoices!$D$5:$D$2998,AF$5,Invoices!$R$5:$R$2998,1)*(AF$5&lt;=$D$2)</f>
        <v>0</v>
      </c>
      <c r="AG8" s="18">
        <f>SUMIFS(Invoices!$L$5:$L$2998,Invoices!$D$5:$D$2998,AG$5,Invoices!$R$5:$R$2998,1)*(AG$5&lt;=$D$2)</f>
        <v>0</v>
      </c>
      <c r="AH8" s="18">
        <f>SUMIFS(Invoices!$L$5:$L$2998,Invoices!$D$5:$D$2998,AH$5,Invoices!$R$5:$R$2998,1)*(AH$5&lt;=$D$2)</f>
        <v>0</v>
      </c>
      <c r="AI8" s="18">
        <f>SUMIFS(Invoices!$L$5:$L$2998,Invoices!$D$5:$D$2998,AI$5,Invoices!$R$5:$R$2998,1)*(AI$5&lt;=$D$2)</f>
        <v>0</v>
      </c>
      <c r="AJ8" s="18">
        <f>SUMIFS(Invoices!$L$5:$L$2998,Invoices!$D$5:$D$2998,AJ$5,Invoices!$R$5:$R$2998,1)*(AJ$5&lt;=$D$2)</f>
        <v>0</v>
      </c>
      <c r="AK8" s="18">
        <f>SUMIFS(Invoices!$L$5:$L$2998,Invoices!$D$5:$D$2998,AK$5,Invoices!$R$5:$R$2998,1)*(AK$5&lt;=$D$2)</f>
        <v>0</v>
      </c>
      <c r="AL8" s="18">
        <f>SUMIFS(Invoices!$L$5:$L$2998,Invoices!$D$5:$D$2998,AL$5,Invoices!$R$5:$R$2998,1)*(AL$5&lt;=$D$2)</f>
        <v>0</v>
      </c>
      <c r="AN8" s="25">
        <f t="shared" ref="AN8" si="8">-SUMIFS($F8:$AL8,$F$3:$AL$3,AN$3)</f>
        <v>-572</v>
      </c>
      <c r="AO8" s="25">
        <f t="shared" si="7"/>
        <v>-52270.413800000002</v>
      </c>
      <c r="AP8" s="25">
        <f t="shared" si="7"/>
        <v>-77681.177391304358</v>
      </c>
      <c r="AQ8" s="25">
        <f t="shared" si="7"/>
        <v>-16130.051060869566</v>
      </c>
      <c r="AR8" s="25">
        <f t="shared" si="7"/>
        <v>-36087.456679999996</v>
      </c>
      <c r="AS8" s="18">
        <f t="shared" si="7"/>
        <v>0</v>
      </c>
      <c r="AT8" s="18">
        <f t="shared" si="7"/>
        <v>0</v>
      </c>
      <c r="AU8" s="18">
        <f t="shared" si="7"/>
        <v>0</v>
      </c>
      <c r="AV8" s="18">
        <f t="shared" si="7"/>
        <v>0</v>
      </c>
      <c r="AW8" s="18">
        <f t="shared" si="7"/>
        <v>0</v>
      </c>
      <c r="AX8" s="18">
        <f t="shared" si="7"/>
        <v>0</v>
      </c>
      <c r="AZ8" s="18">
        <f t="shared" ref="AZ8:AZ9" si="9">SUM(AN8:AX8)</f>
        <v>-182741.09893217392</v>
      </c>
    </row>
    <row r="9" spans="2:52" s="20" customFormat="1" x14ac:dyDescent="0.25">
      <c r="B9" s="20" t="s">
        <v>107</v>
      </c>
      <c r="D9" s="15">
        <f>SUM(F9:AL9)</f>
        <v>1023672.3429321737</v>
      </c>
      <c r="F9" s="15">
        <f>SUM(F7:F8)</f>
        <v>0</v>
      </c>
      <c r="G9" s="15">
        <f t="shared" ref="G9:AL9" si="10">SUM(G7:G8)</f>
        <v>4000</v>
      </c>
      <c r="H9" s="15">
        <f t="shared" si="10"/>
        <v>5672</v>
      </c>
      <c r="I9" s="15">
        <f t="shared" si="10"/>
        <v>0</v>
      </c>
      <c r="J9" s="15">
        <f t="shared" si="10"/>
        <v>78324</v>
      </c>
      <c r="K9" s="15">
        <f t="shared" si="10"/>
        <v>211539.20380000002</v>
      </c>
      <c r="L9" s="15">
        <f t="shared" si="10"/>
        <v>19520</v>
      </c>
      <c r="M9" s="15">
        <f t="shared" si="10"/>
        <v>6802</v>
      </c>
      <c r="N9" s="15">
        <f t="shared" si="10"/>
        <v>403867.00347826083</v>
      </c>
      <c r="O9" s="15">
        <f t="shared" si="10"/>
        <v>19891.826086956524</v>
      </c>
      <c r="P9" s="15">
        <f t="shared" si="10"/>
        <v>58091.026086956517</v>
      </c>
      <c r="Q9" s="15">
        <f t="shared" si="10"/>
        <v>14555.612799999999</v>
      </c>
      <c r="R9" s="15">
        <f t="shared" si="10"/>
        <v>2220.0340000000001</v>
      </c>
      <c r="S9" s="15">
        <f t="shared" si="10"/>
        <v>199189.63667999994</v>
      </c>
      <c r="T9" s="15">
        <f t="shared" si="10"/>
        <v>0</v>
      </c>
      <c r="U9" s="15">
        <f t="shared" si="10"/>
        <v>0</v>
      </c>
      <c r="V9" s="15">
        <f t="shared" si="10"/>
        <v>0</v>
      </c>
      <c r="W9" s="15">
        <f t="shared" si="10"/>
        <v>0</v>
      </c>
      <c r="X9" s="15">
        <f t="shared" si="10"/>
        <v>0</v>
      </c>
      <c r="Y9" s="15">
        <f t="shared" si="10"/>
        <v>0</v>
      </c>
      <c r="Z9" s="15">
        <f t="shared" si="10"/>
        <v>0</v>
      </c>
      <c r="AA9" s="15">
        <f t="shared" si="10"/>
        <v>0</v>
      </c>
      <c r="AB9" s="15">
        <f t="shared" si="10"/>
        <v>0</v>
      </c>
      <c r="AC9" s="15">
        <f t="shared" si="10"/>
        <v>0</v>
      </c>
      <c r="AD9" s="15">
        <f t="shared" si="10"/>
        <v>0</v>
      </c>
      <c r="AE9" s="15">
        <f t="shared" si="10"/>
        <v>0</v>
      </c>
      <c r="AF9" s="15">
        <f t="shared" si="10"/>
        <v>0</v>
      </c>
      <c r="AG9" s="15">
        <f t="shared" si="10"/>
        <v>0</v>
      </c>
      <c r="AH9" s="15">
        <f t="shared" si="10"/>
        <v>0</v>
      </c>
      <c r="AI9" s="15">
        <f t="shared" si="10"/>
        <v>0</v>
      </c>
      <c r="AJ9" s="15">
        <f t="shared" si="10"/>
        <v>0</v>
      </c>
      <c r="AK9" s="15">
        <f t="shared" si="10"/>
        <v>0</v>
      </c>
      <c r="AL9" s="15">
        <f t="shared" si="10"/>
        <v>0</v>
      </c>
      <c r="AN9" s="15">
        <f t="shared" ref="AN9" si="11">SUM(AN7:AN8)</f>
        <v>-9672</v>
      </c>
      <c r="AO9" s="15">
        <f t="shared" ref="AO9" si="12">SUM(AO7:AO8)</f>
        <v>-289863.20380000002</v>
      </c>
      <c r="AP9" s="15">
        <f t="shared" ref="AP9" si="13">SUM(AP7:AP8)</f>
        <v>-430189.00347826083</v>
      </c>
      <c r="AQ9" s="15">
        <f t="shared" ref="AQ9" si="14">SUM(AQ7:AQ8)</f>
        <v>-92538.46497391304</v>
      </c>
      <c r="AR9" s="15">
        <f t="shared" ref="AR9" si="15">SUM(AR7:AR8)</f>
        <v>-201409.67067999995</v>
      </c>
      <c r="AS9" s="15">
        <f t="shared" ref="AS9" si="16">SUM(AS7:AS8)</f>
        <v>0</v>
      </c>
      <c r="AT9" s="15">
        <f t="shared" ref="AT9" si="17">SUM(AT7:AT8)</f>
        <v>0</v>
      </c>
      <c r="AU9" s="15">
        <f t="shared" ref="AU9" si="18">SUM(AU7:AU8)</f>
        <v>0</v>
      </c>
      <c r="AV9" s="15">
        <f t="shared" ref="AV9" si="19">SUM(AV7:AV8)</f>
        <v>0</v>
      </c>
      <c r="AW9" s="15">
        <f t="shared" ref="AW9" si="20">SUM(AW7:AW8)</f>
        <v>0</v>
      </c>
      <c r="AX9" s="15">
        <f t="shared" ref="AX9" si="21">SUM(AX7:AX8)</f>
        <v>0</v>
      </c>
      <c r="AZ9" s="15">
        <f t="shared" si="9"/>
        <v>-1023672.3429321739</v>
      </c>
    </row>
    <row r="12" spans="2:52" x14ac:dyDescent="0.25">
      <c r="B12" s="21" t="s">
        <v>108</v>
      </c>
      <c r="D12" s="1">
        <f>SUM(F12:AL12)</f>
        <v>7343224.9786403161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9">
        <v>598243.08386403159</v>
      </c>
      <c r="V12" s="9">
        <v>680821.77986403159</v>
      </c>
      <c r="W12" s="9">
        <v>770821.77986403159</v>
      </c>
      <c r="X12" s="9">
        <v>766417.32986403164</v>
      </c>
      <c r="Y12" s="9">
        <v>682774.65986403159</v>
      </c>
      <c r="Z12" s="9">
        <v>795274.65986403159</v>
      </c>
      <c r="AA12" s="9">
        <v>810274.65986403159</v>
      </c>
      <c r="AB12" s="9">
        <v>831274.65986403159</v>
      </c>
      <c r="AC12" s="9">
        <v>649195.9638640316</v>
      </c>
      <c r="AD12" s="9">
        <v>758126.40186403168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Z12" s="9"/>
    </row>
    <row r="13" spans="2:52" s="27" customFormat="1" x14ac:dyDescent="0.25">
      <c r="B13" s="21" t="s">
        <v>109</v>
      </c>
      <c r="C13"/>
      <c r="D13" s="44">
        <f t="shared" ref="D13:D14" si="22">SUM(F13:AL13)</f>
        <v>0.99999999999999989</v>
      </c>
      <c r="F13" s="43">
        <f>IFERROR(F12/$D$12,0)</f>
        <v>0</v>
      </c>
      <c r="G13" s="43">
        <f t="shared" ref="G13:AL13" si="23">IFERROR(G12/$D$12,0)</f>
        <v>0</v>
      </c>
      <c r="H13" s="43">
        <f t="shared" si="23"/>
        <v>0</v>
      </c>
      <c r="I13" s="43">
        <f t="shared" si="23"/>
        <v>0</v>
      </c>
      <c r="J13" s="43">
        <f t="shared" si="23"/>
        <v>0</v>
      </c>
      <c r="K13" s="43">
        <f t="shared" si="23"/>
        <v>0</v>
      </c>
      <c r="L13" s="43">
        <f t="shared" si="23"/>
        <v>0</v>
      </c>
      <c r="M13" s="43">
        <f t="shared" si="23"/>
        <v>0</v>
      </c>
      <c r="N13" s="43">
        <f t="shared" si="23"/>
        <v>0</v>
      </c>
      <c r="O13" s="43">
        <f t="shared" si="23"/>
        <v>0</v>
      </c>
      <c r="P13" s="43">
        <f t="shared" si="23"/>
        <v>0</v>
      </c>
      <c r="Q13" s="43">
        <f t="shared" si="23"/>
        <v>0</v>
      </c>
      <c r="R13" s="43">
        <f t="shared" si="23"/>
        <v>0</v>
      </c>
      <c r="S13" s="43">
        <f t="shared" si="23"/>
        <v>0</v>
      </c>
      <c r="T13" s="43">
        <f t="shared" si="23"/>
        <v>0</v>
      </c>
      <c r="U13" s="44">
        <f t="shared" si="23"/>
        <v>8.1468712398731824E-2</v>
      </c>
      <c r="V13" s="44">
        <f t="shared" si="23"/>
        <v>9.2714274973785926E-2</v>
      </c>
      <c r="W13" s="44">
        <f t="shared" si="23"/>
        <v>0.10497047034595394</v>
      </c>
      <c r="X13" s="44">
        <f t="shared" si="23"/>
        <v>0.10437067257143233</v>
      </c>
      <c r="Y13" s="44">
        <f t="shared" si="23"/>
        <v>9.298021807176815E-2</v>
      </c>
      <c r="Z13" s="44">
        <f t="shared" si="23"/>
        <v>0.10830046228697816</v>
      </c>
      <c r="AA13" s="44">
        <f t="shared" si="23"/>
        <v>0.11034316151567283</v>
      </c>
      <c r="AB13" s="44">
        <f t="shared" si="23"/>
        <v>0.11320294043584538</v>
      </c>
      <c r="AC13" s="44">
        <f t="shared" si="23"/>
        <v>8.8407472977116638E-2</v>
      </c>
      <c r="AD13" s="44">
        <f t="shared" si="23"/>
        <v>0.1032416144227148</v>
      </c>
      <c r="AE13" s="44">
        <f t="shared" si="23"/>
        <v>0</v>
      </c>
      <c r="AF13" s="44">
        <f t="shared" si="23"/>
        <v>0</v>
      </c>
      <c r="AG13" s="44">
        <f t="shared" si="23"/>
        <v>0</v>
      </c>
      <c r="AH13" s="44">
        <f t="shared" si="23"/>
        <v>0</v>
      </c>
      <c r="AI13" s="44">
        <f t="shared" si="23"/>
        <v>0</v>
      </c>
      <c r="AJ13" s="44">
        <f t="shared" si="23"/>
        <v>0</v>
      </c>
      <c r="AK13" s="44">
        <f t="shared" si="23"/>
        <v>0</v>
      </c>
      <c r="AL13" s="44">
        <f t="shared" si="23"/>
        <v>0</v>
      </c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Z13" s="28"/>
    </row>
    <row r="14" spans="2:52" s="27" customFormat="1" x14ac:dyDescent="0.25">
      <c r="B14" s="22" t="s">
        <v>110</v>
      </c>
      <c r="C14"/>
      <c r="D14" s="46">
        <f t="shared" si="22"/>
        <v>1.0000000000000002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6">
        <f>IFERROR(U13/SUM($U$13:$AL$13),0)</f>
        <v>8.1468712398731838E-2</v>
      </c>
      <c r="V14" s="46">
        <f t="shared" ref="V14:AL14" si="24">IFERROR(V13/SUM($U$13:$AL$13),0)</f>
        <v>9.271427497378594E-2</v>
      </c>
      <c r="W14" s="46">
        <f t="shared" si="24"/>
        <v>0.10497047034595396</v>
      </c>
      <c r="X14" s="46">
        <f t="shared" si="24"/>
        <v>0.10437067257143234</v>
      </c>
      <c r="Y14" s="46">
        <f t="shared" si="24"/>
        <v>9.2980218071768164E-2</v>
      </c>
      <c r="Z14" s="46">
        <f t="shared" si="24"/>
        <v>0.10830046228697818</v>
      </c>
      <c r="AA14" s="46">
        <f t="shared" si="24"/>
        <v>0.11034316151567285</v>
      </c>
      <c r="AB14" s="46">
        <f t="shared" si="24"/>
        <v>0.11320294043584539</v>
      </c>
      <c r="AC14" s="46">
        <f t="shared" si="24"/>
        <v>8.8407472977116652E-2</v>
      </c>
      <c r="AD14" s="46">
        <f t="shared" si="24"/>
        <v>0.10324161442271482</v>
      </c>
      <c r="AE14" s="46">
        <f t="shared" si="24"/>
        <v>0</v>
      </c>
      <c r="AF14" s="46">
        <f t="shared" si="24"/>
        <v>0</v>
      </c>
      <c r="AG14" s="46">
        <f t="shared" si="24"/>
        <v>0</v>
      </c>
      <c r="AH14" s="46">
        <f t="shared" si="24"/>
        <v>0</v>
      </c>
      <c r="AI14" s="46">
        <f t="shared" si="24"/>
        <v>0</v>
      </c>
      <c r="AJ14" s="46">
        <f t="shared" si="24"/>
        <v>0</v>
      </c>
      <c r="AK14" s="46">
        <f t="shared" si="24"/>
        <v>0</v>
      </c>
      <c r="AL14" s="46">
        <f t="shared" si="24"/>
        <v>0</v>
      </c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Z14" s="29"/>
    </row>
    <row r="15" spans="2:52" x14ac:dyDescent="0.25">
      <c r="B15" t="s">
        <v>111</v>
      </c>
      <c r="D15" s="47">
        <f>9000000-D7-300000</f>
        <v>7859068.7560000001</v>
      </c>
      <c r="F15" s="24">
        <f>F$14*$D$15</f>
        <v>0</v>
      </c>
      <c r="G15" s="24">
        <f t="shared" ref="G15:AL15" si="25">G$14*$D$15</f>
        <v>0</v>
      </c>
      <c r="H15" s="24">
        <f t="shared" si="25"/>
        <v>0</v>
      </c>
      <c r="I15" s="24">
        <f t="shared" si="25"/>
        <v>0</v>
      </c>
      <c r="J15" s="24">
        <f t="shared" si="25"/>
        <v>0</v>
      </c>
      <c r="K15" s="24">
        <f t="shared" si="25"/>
        <v>0</v>
      </c>
      <c r="L15" s="24">
        <f t="shared" si="25"/>
        <v>0</v>
      </c>
      <c r="M15" s="24">
        <f t="shared" si="25"/>
        <v>0</v>
      </c>
      <c r="N15" s="24">
        <f t="shared" si="25"/>
        <v>0</v>
      </c>
      <c r="O15" s="24">
        <f t="shared" si="25"/>
        <v>0</v>
      </c>
      <c r="P15" s="24">
        <f t="shared" si="25"/>
        <v>0</v>
      </c>
      <c r="Q15" s="24">
        <f t="shared" si="25"/>
        <v>0</v>
      </c>
      <c r="R15" s="24">
        <f t="shared" si="25"/>
        <v>0</v>
      </c>
      <c r="S15" s="24">
        <f t="shared" si="25"/>
        <v>0</v>
      </c>
      <c r="T15" s="24">
        <f t="shared" si="25"/>
        <v>0</v>
      </c>
      <c r="U15" s="1">
        <f t="shared" si="25"/>
        <v>640268.21220442315</v>
      </c>
      <c r="V15" s="1">
        <f t="shared" si="25"/>
        <v>728647.86168167379</v>
      </c>
      <c r="W15" s="1">
        <f t="shared" si="25"/>
        <v>824970.14379851124</v>
      </c>
      <c r="X15" s="1">
        <f t="shared" si="25"/>
        <v>820256.29184885009</v>
      </c>
      <c r="Y15" s="1">
        <f t="shared" si="25"/>
        <v>730737.9267738997</v>
      </c>
      <c r="Z15" s="1">
        <f t="shared" si="25"/>
        <v>851140.77941994648</v>
      </c>
      <c r="AA15" s="1">
        <f t="shared" si="25"/>
        <v>867194.49310608604</v>
      </c>
      <c r="AB15" s="1">
        <f t="shared" si="25"/>
        <v>889669.69226668158</v>
      </c>
      <c r="AC15" s="1">
        <f t="shared" si="25"/>
        <v>694800.40867137176</v>
      </c>
      <c r="AD15" s="1">
        <f t="shared" si="25"/>
        <v>811382.94622855703</v>
      </c>
      <c r="AE15" s="1">
        <f t="shared" si="25"/>
        <v>0</v>
      </c>
      <c r="AF15" s="1">
        <f t="shared" si="25"/>
        <v>0</v>
      </c>
      <c r="AG15" s="1">
        <f t="shared" si="25"/>
        <v>0</v>
      </c>
      <c r="AH15" s="1">
        <f t="shared" si="25"/>
        <v>0</v>
      </c>
      <c r="AI15" s="1">
        <f t="shared" si="25"/>
        <v>0</v>
      </c>
      <c r="AJ15" s="1">
        <f t="shared" si="25"/>
        <v>0</v>
      </c>
      <c r="AK15" s="1">
        <f t="shared" si="25"/>
        <v>0</v>
      </c>
      <c r="AL15" s="1">
        <f t="shared" si="25"/>
        <v>0</v>
      </c>
      <c r="AN15" s="24">
        <f>-SUMIFS($F15:$AL15,$F$3:$AL$3,AN$3)</f>
        <v>0</v>
      </c>
      <c r="AO15" s="24">
        <f t="shared" ref="AO15:AX15" si="26">-SUMIFS($F15:$AL15,$F$3:$AL$3,AO$3)</f>
        <v>0</v>
      </c>
      <c r="AP15" s="24">
        <f t="shared" si="26"/>
        <v>0</v>
      </c>
      <c r="AQ15" s="24">
        <f t="shared" si="26"/>
        <v>0</v>
      </c>
      <c r="AR15" s="24">
        <f t="shared" si="26"/>
        <v>0</v>
      </c>
      <c r="AS15" s="1">
        <f>-SUMIFS($F15:$AL15,$F$3:$AL$3,AS$3)</f>
        <v>-2193886.217684608</v>
      </c>
      <c r="AT15" s="1">
        <f t="shared" si="26"/>
        <v>-2402134.9980426962</v>
      </c>
      <c r="AU15" s="1">
        <f t="shared" si="26"/>
        <v>-2451664.5940441391</v>
      </c>
      <c r="AV15" s="1">
        <f t="shared" si="26"/>
        <v>-811382.94622855703</v>
      </c>
      <c r="AW15" s="1">
        <f t="shared" si="26"/>
        <v>0</v>
      </c>
      <c r="AX15" s="1">
        <f t="shared" si="26"/>
        <v>0</v>
      </c>
      <c r="AZ15" s="1">
        <f t="shared" ref="AZ15:AZ16" si="27">SUM(AN15:AX15)</f>
        <v>-7859068.7560000001</v>
      </c>
    </row>
    <row r="16" spans="2:52" x14ac:dyDescent="0.25">
      <c r="B16" s="22" t="s">
        <v>112</v>
      </c>
      <c r="D16" s="18">
        <f>SUM(F16:AL16)</f>
        <v>1728995.1263200003</v>
      </c>
      <c r="F16" s="25">
        <f>F15*22%</f>
        <v>0</v>
      </c>
      <c r="G16" s="25">
        <f t="shared" ref="G16:AL16" si="28">G15*22%</f>
        <v>0</v>
      </c>
      <c r="H16" s="25">
        <f t="shared" si="28"/>
        <v>0</v>
      </c>
      <c r="I16" s="25">
        <f t="shared" si="28"/>
        <v>0</v>
      </c>
      <c r="J16" s="25">
        <f t="shared" si="28"/>
        <v>0</v>
      </c>
      <c r="K16" s="25">
        <f t="shared" si="28"/>
        <v>0</v>
      </c>
      <c r="L16" s="25">
        <f t="shared" si="28"/>
        <v>0</v>
      </c>
      <c r="M16" s="25">
        <f t="shared" si="28"/>
        <v>0</v>
      </c>
      <c r="N16" s="25">
        <f t="shared" si="28"/>
        <v>0</v>
      </c>
      <c r="O16" s="25">
        <f t="shared" si="28"/>
        <v>0</v>
      </c>
      <c r="P16" s="25">
        <f t="shared" si="28"/>
        <v>0</v>
      </c>
      <c r="Q16" s="25">
        <f t="shared" si="28"/>
        <v>0</v>
      </c>
      <c r="R16" s="25">
        <f t="shared" si="28"/>
        <v>0</v>
      </c>
      <c r="S16" s="25">
        <f t="shared" si="28"/>
        <v>0</v>
      </c>
      <c r="T16" s="25">
        <f t="shared" si="28"/>
        <v>0</v>
      </c>
      <c r="U16" s="18">
        <f t="shared" si="28"/>
        <v>140859.00668497311</v>
      </c>
      <c r="V16" s="18">
        <f t="shared" si="28"/>
        <v>160302.52956996823</v>
      </c>
      <c r="W16" s="18">
        <f t="shared" si="28"/>
        <v>181493.43163567249</v>
      </c>
      <c r="X16" s="18">
        <f t="shared" si="28"/>
        <v>180456.38420674703</v>
      </c>
      <c r="Y16" s="18">
        <f t="shared" si="28"/>
        <v>160762.34389025794</v>
      </c>
      <c r="Z16" s="18">
        <f t="shared" si="28"/>
        <v>187250.97147238822</v>
      </c>
      <c r="AA16" s="18">
        <f t="shared" si="28"/>
        <v>190782.78848333893</v>
      </c>
      <c r="AB16" s="18">
        <f t="shared" si="28"/>
        <v>195727.33229866993</v>
      </c>
      <c r="AC16" s="18">
        <f t="shared" si="28"/>
        <v>152856.0899077018</v>
      </c>
      <c r="AD16" s="18">
        <f t="shared" si="28"/>
        <v>178504.24817028255</v>
      </c>
      <c r="AE16" s="18">
        <f t="shared" si="28"/>
        <v>0</v>
      </c>
      <c r="AF16" s="18">
        <f t="shared" si="28"/>
        <v>0</v>
      </c>
      <c r="AG16" s="18">
        <f t="shared" si="28"/>
        <v>0</v>
      </c>
      <c r="AH16" s="18">
        <f t="shared" si="28"/>
        <v>0</v>
      </c>
      <c r="AI16" s="18">
        <f t="shared" si="28"/>
        <v>0</v>
      </c>
      <c r="AJ16" s="18">
        <f t="shared" si="28"/>
        <v>0</v>
      </c>
      <c r="AK16" s="18">
        <f t="shared" si="28"/>
        <v>0</v>
      </c>
      <c r="AL16" s="18">
        <f t="shared" si="28"/>
        <v>0</v>
      </c>
      <c r="AN16" s="25">
        <f>-SUMIFS($F16:$AL16,$F$3:$AL$3,AN$3)</f>
        <v>0</v>
      </c>
      <c r="AO16" s="25">
        <f t="shared" ref="AO16:AX16" si="29">-SUMIFS($F16:$AL16,$F$3:$AL$3,AO$3)</f>
        <v>0</v>
      </c>
      <c r="AP16" s="25">
        <f t="shared" si="29"/>
        <v>0</v>
      </c>
      <c r="AQ16" s="25">
        <f t="shared" si="29"/>
        <v>0</v>
      </c>
      <c r="AR16" s="25">
        <f t="shared" si="29"/>
        <v>0</v>
      </c>
      <c r="AS16" s="18">
        <f t="shared" si="29"/>
        <v>-482654.96789061383</v>
      </c>
      <c r="AT16" s="18">
        <f t="shared" si="29"/>
        <v>-528469.69956939318</v>
      </c>
      <c r="AU16" s="18">
        <f t="shared" si="29"/>
        <v>-539366.21068971069</v>
      </c>
      <c r="AV16" s="18">
        <f t="shared" si="29"/>
        <v>-178504.24817028255</v>
      </c>
      <c r="AW16" s="18">
        <f t="shared" si="29"/>
        <v>0</v>
      </c>
      <c r="AX16" s="18">
        <f t="shared" si="29"/>
        <v>0</v>
      </c>
      <c r="AZ16" s="18">
        <f t="shared" si="27"/>
        <v>-1728995.12632</v>
      </c>
    </row>
    <row r="17" spans="2:52" s="20" customFormat="1" x14ac:dyDescent="0.25">
      <c r="B17" s="20" t="s">
        <v>113</v>
      </c>
      <c r="D17" s="15">
        <f>SUM(F17:AN17)</f>
        <v>9588063.8823199999</v>
      </c>
      <c r="F17" s="15">
        <f t="shared" ref="F17:AL17" si="30">SUM(F15,F16)</f>
        <v>0</v>
      </c>
      <c r="G17" s="15">
        <f t="shared" si="30"/>
        <v>0</v>
      </c>
      <c r="H17" s="15">
        <f t="shared" si="30"/>
        <v>0</v>
      </c>
      <c r="I17" s="15">
        <f t="shared" si="30"/>
        <v>0</v>
      </c>
      <c r="J17" s="15">
        <f t="shared" si="30"/>
        <v>0</v>
      </c>
      <c r="K17" s="15">
        <f t="shared" si="30"/>
        <v>0</v>
      </c>
      <c r="L17" s="15">
        <f t="shared" si="30"/>
        <v>0</v>
      </c>
      <c r="M17" s="15">
        <f t="shared" si="30"/>
        <v>0</v>
      </c>
      <c r="N17" s="15">
        <f t="shared" si="30"/>
        <v>0</v>
      </c>
      <c r="O17" s="15">
        <f t="shared" si="30"/>
        <v>0</v>
      </c>
      <c r="P17" s="15">
        <f t="shared" si="30"/>
        <v>0</v>
      </c>
      <c r="Q17" s="15">
        <f t="shared" si="30"/>
        <v>0</v>
      </c>
      <c r="R17" s="15">
        <f t="shared" si="30"/>
        <v>0</v>
      </c>
      <c r="S17" s="15">
        <f t="shared" si="30"/>
        <v>0</v>
      </c>
      <c r="T17" s="15">
        <f t="shared" si="30"/>
        <v>0</v>
      </c>
      <c r="U17" s="15">
        <f t="shared" si="30"/>
        <v>781127.21888939629</v>
      </c>
      <c r="V17" s="15">
        <f t="shared" si="30"/>
        <v>888950.39125164202</v>
      </c>
      <c r="W17" s="15">
        <f t="shared" si="30"/>
        <v>1006463.5754341837</v>
      </c>
      <c r="X17" s="15">
        <f t="shared" si="30"/>
        <v>1000712.6760555971</v>
      </c>
      <c r="Y17" s="15">
        <f t="shared" si="30"/>
        <v>891500.27066415758</v>
      </c>
      <c r="Z17" s="15">
        <f t="shared" si="30"/>
        <v>1038391.7508923347</v>
      </c>
      <c r="AA17" s="15">
        <f t="shared" si="30"/>
        <v>1057977.2815894249</v>
      </c>
      <c r="AB17" s="15">
        <f t="shared" si="30"/>
        <v>1085397.0245653514</v>
      </c>
      <c r="AC17" s="15">
        <f t="shared" si="30"/>
        <v>847656.49857907358</v>
      </c>
      <c r="AD17" s="15">
        <f t="shared" si="30"/>
        <v>989887.19439883961</v>
      </c>
      <c r="AE17" s="15">
        <f t="shared" si="30"/>
        <v>0</v>
      </c>
      <c r="AF17" s="15">
        <f t="shared" si="30"/>
        <v>0</v>
      </c>
      <c r="AG17" s="15">
        <f t="shared" si="30"/>
        <v>0</v>
      </c>
      <c r="AH17" s="15">
        <f t="shared" si="30"/>
        <v>0</v>
      </c>
      <c r="AI17" s="15">
        <f t="shared" si="30"/>
        <v>0</v>
      </c>
      <c r="AJ17" s="15">
        <f t="shared" si="30"/>
        <v>0</v>
      </c>
      <c r="AK17" s="15">
        <f t="shared" si="30"/>
        <v>0</v>
      </c>
      <c r="AL17" s="15">
        <f t="shared" si="30"/>
        <v>0</v>
      </c>
      <c r="AN17" s="15">
        <f t="shared" ref="AN17:AX17" si="31">SUM(AN15,AN16)</f>
        <v>0</v>
      </c>
      <c r="AO17" s="15">
        <f t="shared" si="31"/>
        <v>0</v>
      </c>
      <c r="AP17" s="15">
        <f t="shared" si="31"/>
        <v>0</v>
      </c>
      <c r="AQ17" s="15">
        <f t="shared" si="31"/>
        <v>0</v>
      </c>
      <c r="AR17" s="15">
        <f t="shared" si="31"/>
        <v>0</v>
      </c>
      <c r="AS17" s="15">
        <f t="shared" si="31"/>
        <v>-2676541.1855752217</v>
      </c>
      <c r="AT17" s="15">
        <f t="shared" si="31"/>
        <v>-2930604.6976120891</v>
      </c>
      <c r="AU17" s="15">
        <f t="shared" si="31"/>
        <v>-2991030.8047338501</v>
      </c>
      <c r="AV17" s="15">
        <f t="shared" si="31"/>
        <v>-989887.19439883961</v>
      </c>
      <c r="AW17" s="15">
        <f t="shared" si="31"/>
        <v>0</v>
      </c>
      <c r="AX17" s="15">
        <f t="shared" si="31"/>
        <v>0</v>
      </c>
      <c r="AZ17" s="15">
        <f>SUM(AN17:AX17)</f>
        <v>-9588063.8823199999</v>
      </c>
    </row>
    <row r="18" spans="2:52" x14ac:dyDescent="0.25">
      <c r="D18" s="26"/>
    </row>
    <row r="19" spans="2:52" x14ac:dyDescent="0.25">
      <c r="B19" t="s">
        <v>114</v>
      </c>
      <c r="D19" s="1">
        <f>SUM(F19:AL19)</f>
        <v>7859068.7560000001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1">
        <f>SUM(U7,U15)</f>
        <v>640268.21220442315</v>
      </c>
      <c r="V19" s="1">
        <f t="shared" ref="V19:AL19" si="32">SUM(V7,V15)</f>
        <v>728647.86168167379</v>
      </c>
      <c r="W19" s="1">
        <f t="shared" si="32"/>
        <v>824970.14379851124</v>
      </c>
      <c r="X19" s="1">
        <f t="shared" si="32"/>
        <v>820256.29184885009</v>
      </c>
      <c r="Y19" s="1">
        <f t="shared" si="32"/>
        <v>730737.9267738997</v>
      </c>
      <c r="Z19" s="1">
        <f t="shared" si="32"/>
        <v>851140.77941994648</v>
      </c>
      <c r="AA19" s="1">
        <f t="shared" si="32"/>
        <v>867194.49310608604</v>
      </c>
      <c r="AB19" s="1">
        <f t="shared" si="32"/>
        <v>889669.69226668158</v>
      </c>
      <c r="AC19" s="1">
        <f t="shared" si="32"/>
        <v>694800.40867137176</v>
      </c>
      <c r="AD19" s="1">
        <f t="shared" si="32"/>
        <v>811382.94622855703</v>
      </c>
      <c r="AE19" s="1">
        <f t="shared" si="32"/>
        <v>0</v>
      </c>
      <c r="AF19" s="1">
        <f t="shared" si="32"/>
        <v>0</v>
      </c>
      <c r="AG19" s="1">
        <f t="shared" si="32"/>
        <v>0</v>
      </c>
      <c r="AH19" s="1">
        <f t="shared" si="32"/>
        <v>0</v>
      </c>
      <c r="AI19" s="1">
        <f t="shared" si="32"/>
        <v>0</v>
      </c>
      <c r="AJ19" s="1">
        <f t="shared" si="32"/>
        <v>0</v>
      </c>
      <c r="AK19" s="1">
        <f t="shared" si="32"/>
        <v>0</v>
      </c>
      <c r="AL19" s="1">
        <f t="shared" si="32"/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1">
        <f>SUM(AS7,AS15)</f>
        <v>-2193886.217684608</v>
      </c>
      <c r="AT19" s="1">
        <f t="shared" ref="AT19:AX19" si="33">SUM(AT7,AT15)</f>
        <v>-2402134.9980426962</v>
      </c>
      <c r="AU19" s="1">
        <f t="shared" si="33"/>
        <v>-2451664.5940441391</v>
      </c>
      <c r="AV19" s="1">
        <f t="shared" si="33"/>
        <v>-811382.94622855703</v>
      </c>
      <c r="AW19" s="1">
        <f t="shared" si="33"/>
        <v>0</v>
      </c>
      <c r="AX19" s="1">
        <f t="shared" si="33"/>
        <v>0</v>
      </c>
      <c r="AZ19" s="1">
        <f t="shared" ref="AZ19:AZ21" si="34">SUM(AN19:AX19)</f>
        <v>-7859068.7560000001</v>
      </c>
    </row>
    <row r="20" spans="2:52" x14ac:dyDescent="0.25">
      <c r="B20" t="s">
        <v>115</v>
      </c>
      <c r="D20" s="1">
        <f t="shared" ref="D20:D21" si="35">SUM(F20:AL20)</f>
        <v>1728995.1263200003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1">
        <f>U16+U8</f>
        <v>140859.00668497311</v>
      </c>
      <c r="V20" s="1">
        <f>V16</f>
        <v>160302.52956996823</v>
      </c>
      <c r="W20" s="1">
        <f t="shared" ref="W20:AL20" si="36">W16</f>
        <v>181493.43163567249</v>
      </c>
      <c r="X20" s="1">
        <f t="shared" si="36"/>
        <v>180456.38420674703</v>
      </c>
      <c r="Y20" s="1">
        <f t="shared" si="36"/>
        <v>160762.34389025794</v>
      </c>
      <c r="Z20" s="1">
        <f t="shared" si="36"/>
        <v>187250.97147238822</v>
      </c>
      <c r="AA20" s="1">
        <f t="shared" si="36"/>
        <v>190782.78848333893</v>
      </c>
      <c r="AB20" s="1">
        <f t="shared" si="36"/>
        <v>195727.33229866993</v>
      </c>
      <c r="AC20" s="1">
        <f t="shared" si="36"/>
        <v>152856.0899077018</v>
      </c>
      <c r="AD20" s="1">
        <f t="shared" si="36"/>
        <v>178504.24817028255</v>
      </c>
      <c r="AE20" s="1">
        <f t="shared" si="36"/>
        <v>0</v>
      </c>
      <c r="AF20" s="1">
        <f t="shared" si="36"/>
        <v>0</v>
      </c>
      <c r="AG20" s="1">
        <f t="shared" si="36"/>
        <v>0</v>
      </c>
      <c r="AH20" s="1">
        <f t="shared" si="36"/>
        <v>0</v>
      </c>
      <c r="AI20" s="1">
        <f t="shared" si="36"/>
        <v>0</v>
      </c>
      <c r="AJ20" s="1">
        <f t="shared" si="36"/>
        <v>0</v>
      </c>
      <c r="AK20" s="1">
        <f t="shared" si="36"/>
        <v>0</v>
      </c>
      <c r="AL20" s="1">
        <f t="shared" si="36"/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1">
        <f>SUM(AS8,AS16)</f>
        <v>-482654.96789061383</v>
      </c>
      <c r="AT20" s="1">
        <f t="shared" ref="AT20:AX20" si="37">SUM(AT8,AT16)</f>
        <v>-528469.69956939318</v>
      </c>
      <c r="AU20" s="1">
        <f t="shared" si="37"/>
        <v>-539366.21068971069</v>
      </c>
      <c r="AV20" s="1">
        <f t="shared" si="37"/>
        <v>-178504.24817028255</v>
      </c>
      <c r="AW20" s="1">
        <f t="shared" si="37"/>
        <v>0</v>
      </c>
      <c r="AX20" s="1">
        <f t="shared" si="37"/>
        <v>0</v>
      </c>
      <c r="AZ20" s="1">
        <f t="shared" si="34"/>
        <v>-1728995.12632</v>
      </c>
    </row>
    <row r="21" spans="2:52" x14ac:dyDescent="0.25">
      <c r="B21" t="s">
        <v>116</v>
      </c>
      <c r="D21" s="1">
        <f t="shared" si="35"/>
        <v>-1728995.1263200003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f>-U20</f>
        <v>-140859.00668497311</v>
      </c>
      <c r="AB21" s="1">
        <f t="shared" ref="AB21:AL21" si="38">-V20</f>
        <v>-160302.52956996823</v>
      </c>
      <c r="AC21" s="1">
        <f t="shared" si="38"/>
        <v>-181493.43163567249</v>
      </c>
      <c r="AD21" s="1">
        <f t="shared" si="38"/>
        <v>-180456.38420674703</v>
      </c>
      <c r="AE21" s="1">
        <f t="shared" si="38"/>
        <v>-160762.34389025794</v>
      </c>
      <c r="AF21" s="1">
        <f t="shared" si="38"/>
        <v>-187250.97147238822</v>
      </c>
      <c r="AG21" s="1">
        <f t="shared" si="38"/>
        <v>-190782.78848333893</v>
      </c>
      <c r="AH21" s="1">
        <f t="shared" si="38"/>
        <v>-195727.33229866993</v>
      </c>
      <c r="AI21" s="1">
        <f t="shared" si="38"/>
        <v>-152856.0899077018</v>
      </c>
      <c r="AJ21" s="1">
        <f t="shared" si="38"/>
        <v>-178504.24817028255</v>
      </c>
      <c r="AK21" s="1">
        <f t="shared" si="38"/>
        <v>0</v>
      </c>
      <c r="AL21" s="1">
        <f t="shared" si="38"/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9">
        <v>0</v>
      </c>
      <c r="AT21" s="9">
        <v>0</v>
      </c>
      <c r="AU21" s="1">
        <f>-AS20</f>
        <v>482654.96789061383</v>
      </c>
      <c r="AV21" s="1">
        <f t="shared" ref="AV21:AX21" si="39">-AT20</f>
        <v>528469.69956939318</v>
      </c>
      <c r="AW21" s="1">
        <f t="shared" si="39"/>
        <v>539366.21068971069</v>
      </c>
      <c r="AX21" s="1">
        <f t="shared" si="39"/>
        <v>178504.24817028255</v>
      </c>
      <c r="AZ21" s="1">
        <f t="shared" si="34"/>
        <v>1728995.12632</v>
      </c>
    </row>
    <row r="26" spans="2:52" x14ac:dyDescent="0.25">
      <c r="AN26" s="44">
        <f>AN7/SUM($AZ$7,$AZ$15)</f>
        <v>1.0459770114942528E-3</v>
      </c>
      <c r="AO26" s="44">
        <f t="shared" ref="AO26:AR26" si="40">AO7/SUM($AZ$7,$AZ$15)</f>
        <v>2.7309516091954023E-2</v>
      </c>
      <c r="AP26" s="44">
        <f t="shared" si="40"/>
        <v>4.0518140929535228E-2</v>
      </c>
      <c r="AQ26" s="44">
        <f t="shared" si="40"/>
        <v>8.7825763118440786E-3</v>
      </c>
      <c r="AR26" s="44">
        <f t="shared" si="40"/>
        <v>1.9002553333333328E-2</v>
      </c>
      <c r="AS26" s="44">
        <f>AS15/SUM($AZ$7,$AZ$15)</f>
        <v>0.25217082961892046</v>
      </c>
      <c r="AT26" s="44">
        <f t="shared" ref="AT26:AV26" si="41">AT15/SUM($AZ$7,$AZ$15)</f>
        <v>0.27610747103939037</v>
      </c>
      <c r="AU26" s="44">
        <f t="shared" si="41"/>
        <v>0.28180052805105049</v>
      </c>
      <c r="AV26" s="44">
        <f t="shared" si="41"/>
        <v>9.3262407612477824E-2</v>
      </c>
      <c r="AZ26" s="1"/>
    </row>
    <row r="28" spans="2:52" x14ac:dyDescent="0.25">
      <c r="AN28" s="44"/>
    </row>
  </sheetData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CD25-FC2A-42B0-811E-E3252658741D}">
  <sheetPr>
    <tabColor rgb="FF5D7176"/>
    <pageSetUpPr fitToPage="1"/>
  </sheetPr>
  <dimension ref="A2:BG165"/>
  <sheetViews>
    <sheetView showGridLines="0" tabSelected="1" zoomScale="85" zoomScaleNormal="85" workbookViewId="0">
      <pane xSplit="11" ySplit="9" topLeftCell="L10" activePane="bottomRight" state="frozen"/>
      <selection pane="topRight" activeCell="K1" sqref="K1"/>
      <selection pane="bottomLeft" activeCell="A10" sqref="A10"/>
      <selection pane="bottomRight" activeCell="H2" sqref="H2"/>
    </sheetView>
  </sheetViews>
  <sheetFormatPr defaultColWidth="8.85546875" defaultRowHeight="15" outlineLevelCol="1" x14ac:dyDescent="0.25"/>
  <cols>
    <col min="1" max="1" width="5.42578125" customWidth="1"/>
    <col min="2" max="2" width="65.28515625" customWidth="1"/>
    <col min="3" max="3" width="10.42578125" customWidth="1" outlineLevel="1"/>
    <col min="4" max="4" width="16.85546875" customWidth="1"/>
    <col min="5" max="5" width="13.85546875" customWidth="1"/>
    <col min="6" max="6" width="11.42578125" customWidth="1"/>
    <col min="7" max="7" width="10.42578125" customWidth="1"/>
    <col min="8" max="8" width="13.7109375" customWidth="1"/>
    <col min="9" max="9" width="0.85546875" customWidth="1"/>
    <col min="10" max="10" width="11.140625" customWidth="1"/>
    <col min="11" max="11" width="0.85546875" customWidth="1"/>
    <col min="12" max="44" width="10.28515625" customWidth="1"/>
    <col min="45" max="45" width="4.42578125" customWidth="1"/>
    <col min="46" max="56" width="10.7109375" customWidth="1"/>
    <col min="57" max="57" width="1" customWidth="1"/>
    <col min="58" max="58" width="11.28515625" customWidth="1"/>
    <col min="59" max="59" width="10.7109375" bestFit="1" customWidth="1"/>
  </cols>
  <sheetData>
    <row r="2" spans="1:58" s="20" customFormat="1" x14ac:dyDescent="0.25">
      <c r="B2" s="30" t="s">
        <v>117</v>
      </c>
      <c r="C2" s="30"/>
      <c r="D2" s="30"/>
      <c r="E2" s="30"/>
      <c r="F2" s="178">
        <f>SUMIFS(F$11:F$162,$A$11:$A$162,1)</f>
        <v>1104145</v>
      </c>
      <c r="G2" s="178">
        <f>SUMIFS(G$11:G$162,$A$11:$A$162,1)</f>
        <v>307666.22000000003</v>
      </c>
      <c r="H2" s="178">
        <f>SUMIFS(H$11:H$162,$A$11:$A$162,1)</f>
        <v>798480.0166666666</v>
      </c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</row>
    <row r="4" spans="1:58" x14ac:dyDescent="0.25">
      <c r="B4" s="20" t="s">
        <v>118</v>
      </c>
      <c r="C4" s="20"/>
      <c r="D4" s="20"/>
      <c r="E4" s="20"/>
      <c r="F4" s="20"/>
      <c r="G4" s="20"/>
      <c r="H4" s="20"/>
      <c r="I4" s="20"/>
      <c r="J4" s="52">
        <v>46203</v>
      </c>
    </row>
    <row r="5" spans="1:58" x14ac:dyDescent="0.25">
      <c r="B5" s="37" t="s">
        <v>102</v>
      </c>
      <c r="C5" s="37"/>
      <c r="D5" s="37"/>
      <c r="E5" s="37"/>
      <c r="F5" s="37"/>
      <c r="G5" s="37"/>
      <c r="H5" s="37"/>
      <c r="J5" s="34"/>
      <c r="L5" s="31">
        <v>0</v>
      </c>
      <c r="M5" s="31">
        <v>0</v>
      </c>
      <c r="N5" s="31">
        <v>0</v>
      </c>
      <c r="O5" s="31">
        <f>L5+1</f>
        <v>1</v>
      </c>
      <c r="P5" s="31">
        <f t="shared" ref="P5:AR5" si="0">M5+1</f>
        <v>1</v>
      </c>
      <c r="Q5" s="31">
        <f t="shared" si="0"/>
        <v>1</v>
      </c>
      <c r="R5" s="31">
        <f t="shared" si="0"/>
        <v>2</v>
      </c>
      <c r="S5" s="31">
        <f t="shared" si="0"/>
        <v>2</v>
      </c>
      <c r="T5" s="31">
        <f t="shared" si="0"/>
        <v>2</v>
      </c>
      <c r="U5" s="31">
        <f t="shared" si="0"/>
        <v>3</v>
      </c>
      <c r="V5" s="31">
        <f t="shared" si="0"/>
        <v>3</v>
      </c>
      <c r="W5" s="31">
        <f t="shared" si="0"/>
        <v>3</v>
      </c>
      <c r="X5" s="31">
        <f t="shared" si="0"/>
        <v>4</v>
      </c>
      <c r="Y5" s="31">
        <f t="shared" si="0"/>
        <v>4</v>
      </c>
      <c r="Z5" s="31">
        <f t="shared" si="0"/>
        <v>4</v>
      </c>
      <c r="AA5" s="31">
        <f t="shared" si="0"/>
        <v>5</v>
      </c>
      <c r="AB5" s="31">
        <f t="shared" si="0"/>
        <v>5</v>
      </c>
      <c r="AC5" s="31">
        <f t="shared" si="0"/>
        <v>5</v>
      </c>
      <c r="AD5" s="31">
        <f t="shared" si="0"/>
        <v>6</v>
      </c>
      <c r="AE5" s="31">
        <f t="shared" si="0"/>
        <v>6</v>
      </c>
      <c r="AF5" s="31">
        <f t="shared" si="0"/>
        <v>6</v>
      </c>
      <c r="AG5" s="31">
        <f t="shared" si="0"/>
        <v>7</v>
      </c>
      <c r="AH5" s="31">
        <f t="shared" si="0"/>
        <v>7</v>
      </c>
      <c r="AI5" s="31">
        <f t="shared" si="0"/>
        <v>7</v>
      </c>
      <c r="AJ5" s="31">
        <f t="shared" si="0"/>
        <v>8</v>
      </c>
      <c r="AK5" s="31">
        <f t="shared" si="0"/>
        <v>8</v>
      </c>
      <c r="AL5" s="31">
        <f t="shared" si="0"/>
        <v>8</v>
      </c>
      <c r="AM5" s="31">
        <f t="shared" si="0"/>
        <v>9</v>
      </c>
      <c r="AN5" s="31">
        <f t="shared" si="0"/>
        <v>9</v>
      </c>
      <c r="AO5" s="31">
        <f t="shared" si="0"/>
        <v>9</v>
      </c>
      <c r="AP5" s="31">
        <f t="shared" si="0"/>
        <v>10</v>
      </c>
      <c r="AQ5" s="31">
        <f t="shared" si="0"/>
        <v>10</v>
      </c>
      <c r="AR5" s="31">
        <f t="shared" si="0"/>
        <v>10</v>
      </c>
      <c r="AT5" s="40">
        <v>0</v>
      </c>
      <c r="AU5" s="40">
        <f>AT5+1</f>
        <v>1</v>
      </c>
      <c r="AV5" s="40">
        <f t="shared" ref="AV5:BD5" si="1">AU5+1</f>
        <v>2</v>
      </c>
      <c r="AW5" s="40">
        <f t="shared" si="1"/>
        <v>3</v>
      </c>
      <c r="AX5" s="40">
        <f t="shared" si="1"/>
        <v>4</v>
      </c>
      <c r="AY5" s="40">
        <f t="shared" si="1"/>
        <v>5</v>
      </c>
      <c r="AZ5" s="40">
        <f t="shared" si="1"/>
        <v>6</v>
      </c>
      <c r="BA5" s="40">
        <f t="shared" si="1"/>
        <v>7</v>
      </c>
      <c r="BB5" s="40">
        <f t="shared" si="1"/>
        <v>8</v>
      </c>
      <c r="BC5" s="40">
        <f t="shared" si="1"/>
        <v>9</v>
      </c>
      <c r="BD5" s="40">
        <f t="shared" si="1"/>
        <v>10</v>
      </c>
      <c r="BF5" s="40"/>
    </row>
    <row r="6" spans="1:58" x14ac:dyDescent="0.25">
      <c r="B6" s="38" t="s">
        <v>103</v>
      </c>
      <c r="C6" s="38"/>
      <c r="D6" s="38"/>
      <c r="E6" s="38"/>
      <c r="F6" s="38"/>
      <c r="G6" s="38"/>
      <c r="H6" s="38"/>
      <c r="J6" s="35"/>
      <c r="L6" s="32">
        <v>45658</v>
      </c>
      <c r="M6" s="32">
        <f>L7+1</f>
        <v>45689</v>
      </c>
      <c r="N6" s="32">
        <f t="shared" ref="N6:AR6" si="2">M7+1</f>
        <v>45717</v>
      </c>
      <c r="O6" s="32">
        <f t="shared" si="2"/>
        <v>45748</v>
      </c>
      <c r="P6" s="32">
        <f t="shared" si="2"/>
        <v>45778</v>
      </c>
      <c r="Q6" s="32">
        <f t="shared" si="2"/>
        <v>45809</v>
      </c>
      <c r="R6" s="32">
        <f t="shared" si="2"/>
        <v>45839</v>
      </c>
      <c r="S6" s="32">
        <f t="shared" si="2"/>
        <v>45870</v>
      </c>
      <c r="T6" s="32">
        <f t="shared" si="2"/>
        <v>45901</v>
      </c>
      <c r="U6" s="32">
        <f t="shared" si="2"/>
        <v>45931</v>
      </c>
      <c r="V6" s="32">
        <f t="shared" si="2"/>
        <v>45962</v>
      </c>
      <c r="W6" s="32">
        <f t="shared" si="2"/>
        <v>45992</v>
      </c>
      <c r="X6" s="32">
        <f t="shared" si="2"/>
        <v>46023</v>
      </c>
      <c r="Y6" s="32">
        <f t="shared" si="2"/>
        <v>46054</v>
      </c>
      <c r="Z6" s="150">
        <f t="shared" si="2"/>
        <v>46082</v>
      </c>
      <c r="AA6" s="32">
        <f t="shared" si="2"/>
        <v>46113</v>
      </c>
      <c r="AB6" s="32">
        <f t="shared" si="2"/>
        <v>46143</v>
      </c>
      <c r="AC6" s="32">
        <f t="shared" si="2"/>
        <v>46174</v>
      </c>
      <c r="AD6" s="32">
        <f t="shared" si="2"/>
        <v>46204</v>
      </c>
      <c r="AE6" s="32">
        <f t="shared" si="2"/>
        <v>46235</v>
      </c>
      <c r="AF6" s="32">
        <f t="shared" si="2"/>
        <v>46266</v>
      </c>
      <c r="AG6" s="32">
        <f t="shared" si="2"/>
        <v>46296</v>
      </c>
      <c r="AH6" s="32">
        <f t="shared" si="2"/>
        <v>46327</v>
      </c>
      <c r="AI6" s="32">
        <f t="shared" si="2"/>
        <v>46357</v>
      </c>
      <c r="AJ6" s="32">
        <f t="shared" si="2"/>
        <v>46388</v>
      </c>
      <c r="AK6" s="32">
        <f t="shared" si="2"/>
        <v>46419</v>
      </c>
      <c r="AL6" s="32">
        <f t="shared" si="2"/>
        <v>46447</v>
      </c>
      <c r="AM6" s="32">
        <f t="shared" si="2"/>
        <v>46478</v>
      </c>
      <c r="AN6" s="32">
        <f t="shared" si="2"/>
        <v>46508</v>
      </c>
      <c r="AO6" s="32">
        <f t="shared" si="2"/>
        <v>46539</v>
      </c>
      <c r="AP6" s="32">
        <f t="shared" si="2"/>
        <v>46569</v>
      </c>
      <c r="AQ6" s="32">
        <f t="shared" si="2"/>
        <v>46600</v>
      </c>
      <c r="AR6" s="32">
        <f t="shared" si="2"/>
        <v>46631</v>
      </c>
      <c r="AT6" s="41">
        <v>45658</v>
      </c>
      <c r="AU6" s="41">
        <f>AT7+1</f>
        <v>45748</v>
      </c>
      <c r="AV6" s="41">
        <f t="shared" ref="AV6:BD6" si="3">AU7+1</f>
        <v>45839</v>
      </c>
      <c r="AW6" s="41">
        <f t="shared" si="3"/>
        <v>45931</v>
      </c>
      <c r="AX6" s="41">
        <f t="shared" si="3"/>
        <v>46023</v>
      </c>
      <c r="AY6" s="41">
        <f t="shared" si="3"/>
        <v>46113</v>
      </c>
      <c r="AZ6" s="41">
        <f t="shared" si="3"/>
        <v>46204</v>
      </c>
      <c r="BA6" s="41">
        <f t="shared" si="3"/>
        <v>46296</v>
      </c>
      <c r="BB6" s="41">
        <f t="shared" si="3"/>
        <v>46388</v>
      </c>
      <c r="BC6" s="41">
        <f t="shared" si="3"/>
        <v>46478</v>
      </c>
      <c r="BD6" s="41">
        <f t="shared" si="3"/>
        <v>46569</v>
      </c>
      <c r="BF6" s="41"/>
    </row>
    <row r="7" spans="1:58" x14ac:dyDescent="0.25">
      <c r="B7" s="39" t="s">
        <v>104</v>
      </c>
      <c r="C7" s="39"/>
      <c r="D7" s="39"/>
      <c r="E7" s="39"/>
      <c r="F7" s="39"/>
      <c r="G7" s="39"/>
      <c r="H7" s="39"/>
      <c r="I7" s="20"/>
      <c r="J7" s="36" t="s">
        <v>0</v>
      </c>
      <c r="K7" s="20"/>
      <c r="L7" s="33">
        <v>45688</v>
      </c>
      <c r="M7" s="33">
        <f>EOMONTH(L7,1)</f>
        <v>45716</v>
      </c>
      <c r="N7" s="33">
        <f t="shared" ref="N7:AR7" si="4">EOMONTH(M7,1)</f>
        <v>45747</v>
      </c>
      <c r="O7" s="33">
        <f t="shared" si="4"/>
        <v>45777</v>
      </c>
      <c r="P7" s="33">
        <f t="shared" si="4"/>
        <v>45808</v>
      </c>
      <c r="Q7" s="33">
        <f t="shared" si="4"/>
        <v>45838</v>
      </c>
      <c r="R7" s="33">
        <f t="shared" si="4"/>
        <v>45869</v>
      </c>
      <c r="S7" s="33">
        <f t="shared" si="4"/>
        <v>45900</v>
      </c>
      <c r="T7" s="33">
        <f t="shared" si="4"/>
        <v>45930</v>
      </c>
      <c r="U7" s="33">
        <f t="shared" si="4"/>
        <v>45961</v>
      </c>
      <c r="V7" s="33">
        <f t="shared" si="4"/>
        <v>45991</v>
      </c>
      <c r="W7" s="33">
        <f t="shared" si="4"/>
        <v>46022</v>
      </c>
      <c r="X7" s="33">
        <f t="shared" si="4"/>
        <v>46053</v>
      </c>
      <c r="Y7" s="33">
        <f t="shared" si="4"/>
        <v>46081</v>
      </c>
      <c r="Z7" s="151">
        <f t="shared" si="4"/>
        <v>46112</v>
      </c>
      <c r="AA7" s="33">
        <f t="shared" si="4"/>
        <v>46142</v>
      </c>
      <c r="AB7" s="33">
        <f t="shared" si="4"/>
        <v>46173</v>
      </c>
      <c r="AC7" s="33">
        <f t="shared" si="4"/>
        <v>46203</v>
      </c>
      <c r="AD7" s="33">
        <f t="shared" si="4"/>
        <v>46234</v>
      </c>
      <c r="AE7" s="33">
        <f t="shared" si="4"/>
        <v>46265</v>
      </c>
      <c r="AF7" s="33">
        <f t="shared" si="4"/>
        <v>46295</v>
      </c>
      <c r="AG7" s="33">
        <f t="shared" si="4"/>
        <v>46326</v>
      </c>
      <c r="AH7" s="33">
        <f t="shared" si="4"/>
        <v>46356</v>
      </c>
      <c r="AI7" s="33">
        <f t="shared" si="4"/>
        <v>46387</v>
      </c>
      <c r="AJ7" s="33">
        <f t="shared" si="4"/>
        <v>46418</v>
      </c>
      <c r="AK7" s="33">
        <f t="shared" si="4"/>
        <v>46446</v>
      </c>
      <c r="AL7" s="33">
        <f t="shared" si="4"/>
        <v>46477</v>
      </c>
      <c r="AM7" s="33">
        <f t="shared" si="4"/>
        <v>46507</v>
      </c>
      <c r="AN7" s="33">
        <f t="shared" si="4"/>
        <v>46538</v>
      </c>
      <c r="AO7" s="33">
        <f t="shared" si="4"/>
        <v>46568</v>
      </c>
      <c r="AP7" s="33">
        <f t="shared" si="4"/>
        <v>46599</v>
      </c>
      <c r="AQ7" s="33">
        <f t="shared" si="4"/>
        <v>46630</v>
      </c>
      <c r="AR7" s="33">
        <f t="shared" si="4"/>
        <v>46660</v>
      </c>
      <c r="AT7" s="42">
        <v>45747</v>
      </c>
      <c r="AU7" s="42">
        <f>EOMONTH(AT7,3)</f>
        <v>45838</v>
      </c>
      <c r="AV7" s="42">
        <f t="shared" ref="AV7:BD7" si="5">EOMONTH(AU7,3)</f>
        <v>45930</v>
      </c>
      <c r="AW7" s="42">
        <f t="shared" si="5"/>
        <v>46022</v>
      </c>
      <c r="AX7" s="42">
        <f t="shared" si="5"/>
        <v>46112</v>
      </c>
      <c r="AY7" s="42">
        <f t="shared" si="5"/>
        <v>46203</v>
      </c>
      <c r="AZ7" s="42">
        <f t="shared" si="5"/>
        <v>46295</v>
      </c>
      <c r="BA7" s="42">
        <f t="shared" si="5"/>
        <v>46387</v>
      </c>
      <c r="BB7" s="42">
        <f t="shared" si="5"/>
        <v>46477</v>
      </c>
      <c r="BC7" s="42">
        <f t="shared" si="5"/>
        <v>46568</v>
      </c>
      <c r="BD7" s="42">
        <f t="shared" si="5"/>
        <v>46660</v>
      </c>
      <c r="BF7" s="42"/>
    </row>
    <row r="9" spans="1:58" x14ac:dyDescent="0.25">
      <c r="B9" s="4" t="s">
        <v>119</v>
      </c>
      <c r="C9" s="4"/>
      <c r="D9" s="53"/>
      <c r="E9" s="53"/>
      <c r="F9" s="53"/>
      <c r="G9" s="53"/>
      <c r="H9" s="53"/>
      <c r="J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F9" s="140"/>
    </row>
    <row r="11" spans="1:58" s="20" customFormat="1" x14ac:dyDescent="0.25">
      <c r="B11" s="57" t="s">
        <v>120</v>
      </c>
      <c r="C11" s="57" t="s">
        <v>6</v>
      </c>
      <c r="D11" s="58" t="s">
        <v>121</v>
      </c>
      <c r="E11" s="58" t="s">
        <v>122</v>
      </c>
      <c r="F11" s="58" t="s">
        <v>120</v>
      </c>
      <c r="G11" s="58" t="s">
        <v>123</v>
      </c>
      <c r="H11" s="58" t="s">
        <v>124</v>
      </c>
      <c r="J11" s="111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F11" s="58"/>
    </row>
    <row r="12" spans="1:58" x14ac:dyDescent="0.25">
      <c r="B12" s="21"/>
      <c r="C12" s="21"/>
      <c r="D12" s="2"/>
      <c r="E12" s="2"/>
      <c r="F12" s="9"/>
      <c r="G12" s="59"/>
      <c r="H12" s="1"/>
      <c r="J12" s="1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T12" s="24"/>
      <c r="AU12" s="24"/>
      <c r="AV12" s="24"/>
      <c r="AW12" s="24"/>
      <c r="AX12" s="24"/>
      <c r="AY12" s="1"/>
      <c r="AZ12" s="1"/>
      <c r="BA12" s="1"/>
      <c r="BB12" s="1"/>
      <c r="BC12" s="1"/>
      <c r="BD12" s="1"/>
      <c r="BF12" s="1"/>
    </row>
    <row r="13" spans="1:58" x14ac:dyDescent="0.25">
      <c r="B13" s="141" t="s">
        <v>125</v>
      </c>
      <c r="C13" s="141"/>
      <c r="D13" s="142"/>
      <c r="E13" s="142"/>
      <c r="F13" s="141"/>
      <c r="G13" s="141"/>
      <c r="H13" s="141"/>
      <c r="J13" s="110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F13" s="141"/>
    </row>
    <row r="14" spans="1:58" x14ac:dyDescent="0.25">
      <c r="A14">
        <v>1</v>
      </c>
      <c r="B14" s="113" t="s">
        <v>251</v>
      </c>
      <c r="C14" s="21"/>
      <c r="D14" s="2" t="s">
        <v>119</v>
      </c>
      <c r="E14" s="2" t="s">
        <v>126</v>
      </c>
      <c r="F14" s="9">
        <v>20000</v>
      </c>
      <c r="G14" s="59">
        <f>SUMIFS($L14:$AR14,$L$7:$AR$7,"&lt;="&amp;$J$4)</f>
        <v>0</v>
      </c>
      <c r="H14" s="59">
        <f>J14-G14</f>
        <v>20000</v>
      </c>
      <c r="J14" s="1">
        <f t="shared" ref="J14:J15" si="6">SUM(L14:AR14)</f>
        <v>20000</v>
      </c>
      <c r="L14" s="115">
        <f>SUMIFS('Invoices - Preopening'!$I$20:$I$299,'Invoices - Preopening'!$H$20:$H$299,"&gt;="&amp;L$6,'Invoices - Preopening'!$H$20:$H$299,"&lt;="&amp;L$7,'Invoices - Preopening'!$C$20:$C$299,'Model - Preopening &amp; Fees'!$B14)</f>
        <v>0</v>
      </c>
      <c r="M14" s="115">
        <f>SUMIFS('Invoices - Preopening'!$I$20:$I$299,'Invoices - Preopening'!$H$20:$H$299,"&gt;="&amp;M$6,'Invoices - Preopening'!$H$20:$H$299,"&lt;="&amp;M$7,'Invoices - Preopening'!$C$20:$C$299,'Model - Preopening &amp; Fees'!$B14)</f>
        <v>0</v>
      </c>
      <c r="N14" s="115">
        <f>SUMIFS('Invoices - Preopening'!$I$20:$I$299,'Invoices - Preopening'!$H$20:$H$299,"&gt;="&amp;N$6,'Invoices - Preopening'!$H$20:$H$299,"&lt;="&amp;N$7,'Invoices - Preopening'!$C$20:$C$299,'Model - Preopening &amp; Fees'!$B14)</f>
        <v>0</v>
      </c>
      <c r="O14" s="115">
        <f>SUMIFS('Invoices - Preopening'!$I$20:$I$299,'Invoices - Preopening'!$H$20:$H$299,"&gt;="&amp;O$6,'Invoices - Preopening'!$H$20:$H$299,"&lt;="&amp;O$7,'Invoices - Preopening'!$C$20:$C$299,'Model - Preopening &amp; Fees'!$B14)</f>
        <v>0</v>
      </c>
      <c r="P14" s="115">
        <f>SUMIFS('Invoices - Preopening'!$I$20:$I$299,'Invoices - Preopening'!$H$20:$H$299,"&gt;="&amp;P$6,'Invoices - Preopening'!$H$20:$H$299,"&lt;="&amp;P$7,'Invoices - Preopening'!$C$20:$C$299,'Model - Preopening &amp; Fees'!$B14)</f>
        <v>0</v>
      </c>
      <c r="Q14" s="115">
        <f>SUMIFS('Invoices - Preopening'!$I$20:$I$299,'Invoices - Preopening'!$H$20:$H$299,"&gt;="&amp;Q$6,'Invoices - Preopening'!$H$20:$H$299,"&lt;="&amp;Q$7,'Invoices - Preopening'!$C$20:$C$299,'Model - Preopening &amp; Fees'!$B14)</f>
        <v>0</v>
      </c>
      <c r="R14" s="115">
        <f>SUMIFS('Invoices - Preopening'!$I$20:$I$299,'Invoices - Preopening'!$H$20:$H$299,"&gt;="&amp;R$6,'Invoices - Preopening'!$H$20:$H$299,"&lt;="&amp;R$7,'Invoices - Preopening'!$C$20:$C$299,'Model - Preopening &amp; Fees'!$B14)</f>
        <v>0</v>
      </c>
      <c r="S14" s="115">
        <f>SUMIFS('Invoices - Preopening'!$I$20:$I$299,'Invoices - Preopening'!$H$20:$H$299,"&gt;="&amp;S$6,'Invoices - Preopening'!$H$20:$H$299,"&lt;="&amp;S$7,'Invoices - Preopening'!$C$20:$C$299,'Model - Preopening &amp; Fees'!$B14)</f>
        <v>0</v>
      </c>
      <c r="T14" s="115">
        <f>SUMIFS('Invoices - Preopening'!$I$20:$I$299,'Invoices - Preopening'!$H$20:$H$299,"&gt;="&amp;T$6,'Invoices - Preopening'!$H$20:$H$299,"&lt;="&amp;T$7,'Invoices - Preopening'!$C$20:$C$299,'Model - Preopening &amp; Fees'!$B14)</f>
        <v>0</v>
      </c>
      <c r="U14" s="115">
        <f>SUMIFS('Invoices - Preopening'!$I$20:$I$299,'Invoices - Preopening'!$H$20:$H$299,"&gt;="&amp;U$6,'Invoices - Preopening'!$H$20:$H$299,"&lt;="&amp;U$7,'Invoices - Preopening'!$C$20:$C$299,'Model - Preopening &amp; Fees'!$B14)</f>
        <v>0</v>
      </c>
      <c r="V14" s="115">
        <f>SUMIFS('Invoices - Preopening'!$I$20:$I$299,'Invoices - Preopening'!$H$20:$H$299,"&gt;="&amp;V$6,'Invoices - Preopening'!$H$20:$H$299,"&lt;="&amp;V$7,'Invoices - Preopening'!$C$20:$C$299,'Model - Preopening &amp; Fees'!$B14)</f>
        <v>0</v>
      </c>
      <c r="W14" s="115">
        <f>SUMIFS('Invoices - Preopening'!$I$20:$I$299,'Invoices - Preopening'!$H$20:$H$299,"&gt;="&amp;W$6,'Invoices - Preopening'!$H$20:$H$299,"&lt;="&amp;W$7,'Invoices - Preopening'!$C$20:$C$299,'Model - Preopening &amp; Fees'!$B14)</f>
        <v>0</v>
      </c>
      <c r="X14" s="115">
        <f>SUMIFS('Invoices - Preopening'!$I$20:$I$299,'Invoices - Preopening'!$H$20:$H$299,"&gt;="&amp;X$6,'Invoices - Preopening'!$H$20:$H$299,"&lt;="&amp;X$7,'Invoices - Preopening'!$C$20:$C$299,'Model - Preopening &amp; Fees'!$B14)</f>
        <v>0</v>
      </c>
      <c r="Y14" s="115">
        <f>SUMIFS('Invoices - Preopening'!$I$20:$I$299,'Invoices - Preopening'!$H$20:$H$299,"&gt;="&amp;Y$6,'Invoices - Preopening'!$H$20:$H$299,"&lt;="&amp;Y$7,'Invoices - Preopening'!$C$20:$C$299,'Model - Preopening &amp; Fees'!$B14)</f>
        <v>0</v>
      </c>
      <c r="Z14" s="115">
        <f>SUMIFS('Invoices - Preopening'!$I$20:$I$299,'Invoices - Preopening'!$H$20:$H$299,"&gt;="&amp;Z$6,'Invoices - Preopening'!$H$20:$H$299,"&lt;="&amp;Z$7,'Invoices - Preopening'!$C$20:$C$299,'Model - Preopening &amp; Fees'!$B14)</f>
        <v>0</v>
      </c>
      <c r="AA14" s="115">
        <f>SUMIFS('Invoices - Preopening'!$I$20:$I$299,'Invoices - Preopening'!$H$20:$H$299,"&gt;="&amp;AA$6,'Invoices - Preopening'!$H$20:$H$299,"&lt;="&amp;AA$7,'Invoices - Preopening'!$C$20:$C$299,'Model - Preopening &amp; Fees'!$B14)</f>
        <v>0</v>
      </c>
      <c r="AB14" s="115">
        <f>SUMIFS('Invoices - Preopening'!$I$20:$I$299,'Invoices - Preopening'!$H$20:$H$299,"&gt;="&amp;AB$6,'Invoices - Preopening'!$H$20:$H$299,"&lt;="&amp;AB$7,'Invoices - Preopening'!$C$20:$C$299,'Model - Preopening &amp; Fees'!$B14)</f>
        <v>0</v>
      </c>
      <c r="AC14" s="115">
        <f>SUMIFS('Invoices - Preopening'!$I$20:$I$299,'Invoices - Preopening'!$H$20:$H$299,"&gt;="&amp;AC$6,'Invoices - Preopening'!$H$20:$H$299,"&lt;="&amp;AC$7,'Invoices - Preopening'!$C$20:$C$299,'Model - Preopening &amp; Fees'!$B14)</f>
        <v>0</v>
      </c>
      <c r="AD14" s="9">
        <v>20000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T14" s="24">
        <f t="shared" ref="AT14:BD15" si="7">-SUMIFS($L14:$AR14,$L$5:$AR$5,AT$5)</f>
        <v>0</v>
      </c>
      <c r="AU14" s="24">
        <f t="shared" si="7"/>
        <v>0</v>
      </c>
      <c r="AV14" s="24">
        <f t="shared" si="7"/>
        <v>0</v>
      </c>
      <c r="AW14" s="24">
        <f t="shared" si="7"/>
        <v>0</v>
      </c>
      <c r="AX14" s="24">
        <f t="shared" si="7"/>
        <v>0</v>
      </c>
      <c r="AY14" s="1">
        <f t="shared" si="7"/>
        <v>0</v>
      </c>
      <c r="AZ14" s="1">
        <f t="shared" si="7"/>
        <v>-20000</v>
      </c>
      <c r="BA14" s="1">
        <f t="shared" si="7"/>
        <v>0</v>
      </c>
      <c r="BB14" s="1">
        <f t="shared" si="7"/>
        <v>0</v>
      </c>
      <c r="BC14" s="1">
        <f t="shared" si="7"/>
        <v>0</v>
      </c>
      <c r="BD14" s="1">
        <f t="shared" si="7"/>
        <v>0</v>
      </c>
      <c r="BF14" s="1">
        <f t="shared" ref="BF14:BF15" si="8">SUM(AT14:BD14)</f>
        <v>-20000</v>
      </c>
    </row>
    <row r="15" spans="1:58" x14ac:dyDescent="0.25">
      <c r="A15">
        <v>1</v>
      </c>
      <c r="B15" s="21" t="s">
        <v>250</v>
      </c>
      <c r="C15" s="21"/>
      <c r="D15" s="2" t="s">
        <v>119</v>
      </c>
      <c r="E15" s="2" t="s">
        <v>126</v>
      </c>
      <c r="F15" s="9">
        <v>26500</v>
      </c>
      <c r="G15" s="59">
        <f>SUMIFS($L15:$AR15,$L$7:$AR$7,"&lt;="&amp;$J$4)</f>
        <v>0</v>
      </c>
      <c r="H15" s="59">
        <f t="shared" ref="H15" si="9">J15-G15</f>
        <v>14000</v>
      </c>
      <c r="J15" s="1">
        <f t="shared" si="6"/>
        <v>14000</v>
      </c>
      <c r="L15" s="115">
        <f>SUMIFS('Invoices - Preopening'!$I$20:$I$299,'Invoices - Preopening'!$H$20:$H$299,"&gt;="&amp;L$6,'Invoices - Preopening'!$H$20:$H$299,"&lt;="&amp;L$7,'Invoices - Preopening'!$C$20:$C$299,'Model - Preopening &amp; Fees'!$B15)</f>
        <v>0</v>
      </c>
      <c r="M15" s="115">
        <f>SUMIFS('Invoices - Preopening'!$I$20:$I$299,'Invoices - Preopening'!$H$20:$H$299,"&gt;="&amp;M$6,'Invoices - Preopening'!$H$20:$H$299,"&lt;="&amp;M$7,'Invoices - Preopening'!$C$20:$C$299,'Model - Preopening &amp; Fees'!$B15)</f>
        <v>0</v>
      </c>
      <c r="N15" s="115">
        <f>SUMIFS('Invoices - Preopening'!$I$20:$I$299,'Invoices - Preopening'!$H$20:$H$299,"&gt;="&amp;N$6,'Invoices - Preopening'!$H$20:$H$299,"&lt;="&amp;N$7,'Invoices - Preopening'!$C$20:$C$299,'Model - Preopening &amp; Fees'!$B15)</f>
        <v>0</v>
      </c>
      <c r="O15" s="115">
        <f>SUMIFS('Invoices - Preopening'!$I$20:$I$299,'Invoices - Preopening'!$H$20:$H$299,"&gt;="&amp;O$6,'Invoices - Preopening'!$H$20:$H$299,"&lt;="&amp;O$7,'Invoices - Preopening'!$C$20:$C$299,'Model - Preopening &amp; Fees'!$B15)</f>
        <v>0</v>
      </c>
      <c r="P15" s="115">
        <f>SUMIFS('Invoices - Preopening'!$I$20:$I$299,'Invoices - Preopening'!$H$20:$H$299,"&gt;="&amp;P$6,'Invoices - Preopening'!$H$20:$H$299,"&lt;="&amp;P$7,'Invoices - Preopening'!$C$20:$C$299,'Model - Preopening &amp; Fees'!$B15)</f>
        <v>0</v>
      </c>
      <c r="Q15" s="115">
        <f>SUMIFS('Invoices - Preopening'!$I$20:$I$299,'Invoices - Preopening'!$H$20:$H$299,"&gt;="&amp;Q$6,'Invoices - Preopening'!$H$20:$H$299,"&lt;="&amp;Q$7,'Invoices - Preopening'!$C$20:$C$299,'Model - Preopening &amp; Fees'!$B15)</f>
        <v>0</v>
      </c>
      <c r="R15" s="115">
        <f>SUMIFS('Invoices - Preopening'!$I$20:$I$299,'Invoices - Preopening'!$H$20:$H$299,"&gt;="&amp;R$6,'Invoices - Preopening'!$H$20:$H$299,"&lt;="&amp;R$7,'Invoices - Preopening'!$C$20:$C$299,'Model - Preopening &amp; Fees'!$B15)</f>
        <v>0</v>
      </c>
      <c r="S15" s="115">
        <f>SUMIFS('Invoices - Preopening'!$I$20:$I$299,'Invoices - Preopening'!$H$20:$H$299,"&gt;="&amp;S$6,'Invoices - Preopening'!$H$20:$H$299,"&lt;="&amp;S$7,'Invoices - Preopening'!$C$20:$C$299,'Model - Preopening &amp; Fees'!$B15)</f>
        <v>0</v>
      </c>
      <c r="T15" s="115">
        <f>SUMIFS('Invoices - Preopening'!$I$20:$I$299,'Invoices - Preopening'!$H$20:$H$299,"&gt;="&amp;T$6,'Invoices - Preopening'!$H$20:$H$299,"&lt;="&amp;T$7,'Invoices - Preopening'!$C$20:$C$299,'Model - Preopening &amp; Fees'!$B15)</f>
        <v>0</v>
      </c>
      <c r="U15" s="115">
        <f>SUMIFS('Invoices - Preopening'!$I$20:$I$299,'Invoices - Preopening'!$H$20:$H$299,"&gt;="&amp;U$6,'Invoices - Preopening'!$H$20:$H$299,"&lt;="&amp;U$7,'Invoices - Preopening'!$C$20:$C$299,'Model - Preopening &amp; Fees'!$B15)</f>
        <v>0</v>
      </c>
      <c r="V15" s="115">
        <f>SUMIFS('Invoices - Preopening'!$I$20:$I$299,'Invoices - Preopening'!$H$20:$H$299,"&gt;="&amp;V$6,'Invoices - Preopening'!$H$20:$H$299,"&lt;="&amp;V$7,'Invoices - Preopening'!$C$20:$C$299,'Model - Preopening &amp; Fees'!$B15)</f>
        <v>0</v>
      </c>
      <c r="W15" s="115">
        <f>SUMIFS('Invoices - Preopening'!$I$20:$I$299,'Invoices - Preopening'!$H$20:$H$299,"&gt;="&amp;W$6,'Invoices - Preopening'!$H$20:$H$299,"&lt;="&amp;W$7,'Invoices - Preopening'!$C$20:$C$299,'Model - Preopening &amp; Fees'!$B15)</f>
        <v>0</v>
      </c>
      <c r="X15" s="115">
        <f>SUMIFS('Invoices - Preopening'!$I$20:$I$299,'Invoices - Preopening'!$H$20:$H$299,"&gt;="&amp;X$6,'Invoices - Preopening'!$H$20:$H$299,"&lt;="&amp;X$7,'Invoices - Preopening'!$C$20:$C$299,'Model - Preopening &amp; Fees'!$B15)</f>
        <v>0</v>
      </c>
      <c r="Y15" s="115">
        <f>SUMIFS('Invoices - Preopening'!$I$20:$I$299,'Invoices - Preopening'!$H$20:$H$299,"&gt;="&amp;Y$6,'Invoices - Preopening'!$H$20:$H$299,"&lt;="&amp;Y$7,'Invoices - Preopening'!$C$20:$C$299,'Model - Preopening &amp; Fees'!$B15)</f>
        <v>0</v>
      </c>
      <c r="Z15" s="115">
        <f>SUMIFS('Invoices - Preopening'!$I$20:$I$299,'Invoices - Preopening'!$H$20:$H$299,"&gt;="&amp;Z$6,'Invoices - Preopening'!$H$20:$H$299,"&lt;="&amp;Z$7,'Invoices - Preopening'!$C$20:$C$299,'Model - Preopening &amp; Fees'!$B15)</f>
        <v>0</v>
      </c>
      <c r="AA15" s="115">
        <f>SUMIFS('Invoices - Preopening'!$I$20:$I$299,'Invoices - Preopening'!$H$20:$H$299,"&gt;="&amp;AA$6,'Invoices - Preopening'!$H$20:$H$299,"&lt;="&amp;AA$7,'Invoices - Preopening'!$C$20:$C$299,'Model - Preopening &amp; Fees'!$B15)</f>
        <v>0</v>
      </c>
      <c r="AB15" s="115">
        <f>SUMIFS('Invoices - Preopening'!$I$20:$I$299,'Invoices - Preopening'!$H$20:$H$299,"&gt;="&amp;AB$6,'Invoices - Preopening'!$H$20:$H$299,"&lt;="&amp;AB$7,'Invoices - Preopening'!$C$20:$C$299,'Model - Preopening &amp; Fees'!$B15)</f>
        <v>0</v>
      </c>
      <c r="AC15" s="115">
        <f>SUMIFS('Invoices - Preopening'!$I$20:$I$299,'Invoices - Preopening'!$H$20:$H$299,"&gt;="&amp;AC$6,'Invoices - Preopening'!$H$20:$H$299,"&lt;="&amp;AC$7,'Invoices - Preopening'!$C$20:$C$299,'Model - Preopening &amp; Fees'!$B15)</f>
        <v>0</v>
      </c>
      <c r="AD15" s="9">
        <v>0</v>
      </c>
      <c r="AE15" s="9">
        <v>2000</v>
      </c>
      <c r="AF15" s="9">
        <v>2000</v>
      </c>
      <c r="AG15" s="9">
        <v>2000</v>
      </c>
      <c r="AH15" s="9">
        <v>2000</v>
      </c>
      <c r="AI15" s="9">
        <v>2000</v>
      </c>
      <c r="AJ15" s="9">
        <v>2000</v>
      </c>
      <c r="AK15" s="9">
        <v>2000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T15" s="24">
        <f t="shared" si="7"/>
        <v>0</v>
      </c>
      <c r="AU15" s="24">
        <f t="shared" si="7"/>
        <v>0</v>
      </c>
      <c r="AV15" s="24">
        <f t="shared" si="7"/>
        <v>0</v>
      </c>
      <c r="AW15" s="24">
        <f t="shared" si="7"/>
        <v>0</v>
      </c>
      <c r="AX15" s="24">
        <f t="shared" si="7"/>
        <v>0</v>
      </c>
      <c r="AY15" s="1">
        <f t="shared" si="7"/>
        <v>0</v>
      </c>
      <c r="AZ15" s="1">
        <f t="shared" si="7"/>
        <v>-4000</v>
      </c>
      <c r="BA15" s="1">
        <f t="shared" si="7"/>
        <v>-6000</v>
      </c>
      <c r="BB15" s="1">
        <f t="shared" si="7"/>
        <v>-4000</v>
      </c>
      <c r="BC15" s="1">
        <f t="shared" si="7"/>
        <v>0</v>
      </c>
      <c r="BD15" s="1">
        <f t="shared" si="7"/>
        <v>0</v>
      </c>
      <c r="BF15" s="1">
        <f t="shared" si="8"/>
        <v>-14000</v>
      </c>
    </row>
    <row r="16" spans="1:58" x14ac:dyDescent="0.25">
      <c r="B16" s="21"/>
      <c r="C16" s="21"/>
      <c r="D16" s="2"/>
      <c r="E16" s="2"/>
      <c r="F16" s="9"/>
      <c r="G16" s="59"/>
      <c r="H16" s="59"/>
      <c r="J16" s="1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T16" s="24"/>
      <c r="AU16" s="24"/>
      <c r="AV16" s="24"/>
      <c r="AW16" s="24"/>
      <c r="AX16" s="24"/>
      <c r="AY16" s="1"/>
      <c r="AZ16" s="1"/>
      <c r="BA16" s="1"/>
      <c r="BB16" s="1"/>
      <c r="BC16" s="1"/>
      <c r="BD16" s="1"/>
      <c r="BF16" s="1"/>
    </row>
    <row r="17" spans="1:58" x14ac:dyDescent="0.25">
      <c r="B17" s="141" t="s">
        <v>127</v>
      </c>
      <c r="C17" s="141"/>
      <c r="D17" s="142"/>
      <c r="E17" s="142"/>
      <c r="F17" s="141"/>
      <c r="G17" s="141"/>
      <c r="H17" s="141"/>
      <c r="J17" s="110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F17" s="141"/>
    </row>
    <row r="18" spans="1:58" x14ac:dyDescent="0.25">
      <c r="A18">
        <v>1</v>
      </c>
      <c r="B18" s="21" t="s">
        <v>234</v>
      </c>
      <c r="C18" s="21"/>
      <c r="D18" s="2" t="s">
        <v>119</v>
      </c>
      <c r="E18" s="2" t="s">
        <v>126</v>
      </c>
      <c r="F18" s="9">
        <v>3000</v>
      </c>
      <c r="G18" s="59">
        <f t="shared" ref="G18" si="10">SUMIFS($L18:$AR18,$L$7:$AR$7,"&lt;="&amp;$J$4)</f>
        <v>1000</v>
      </c>
      <c r="H18" s="59">
        <f t="shared" ref="H18:H22" si="11">J18-G18</f>
        <v>2000</v>
      </c>
      <c r="J18" s="1">
        <f t="shared" ref="J18:J22" si="12">SUM(L18:AR18)</f>
        <v>3000</v>
      </c>
      <c r="L18" s="115">
        <f>SUMIFS('Invoices - Preopening'!$I$20:$I$299,'Invoices - Preopening'!$H$20:$H$299,"&gt;="&amp;L$6,'Invoices - Preopening'!$H$20:$H$299,"&lt;="&amp;L$7,'Invoices - Preopening'!$C$20:$C$299,'Model - Preopening &amp; Fees'!$B18)</f>
        <v>0</v>
      </c>
      <c r="M18" s="115">
        <f>SUMIFS('Invoices - Preopening'!$I$20:$I$299,'Invoices - Preopening'!$H$20:$H$299,"&gt;="&amp;M$6,'Invoices - Preopening'!$H$20:$H$299,"&lt;="&amp;M$7,'Invoices - Preopening'!$C$20:$C$299,'Model - Preopening &amp; Fees'!$B18)</f>
        <v>0</v>
      </c>
      <c r="N18" s="115">
        <f>SUMIFS('Invoices - Preopening'!$I$20:$I$299,'Invoices - Preopening'!$H$20:$H$299,"&gt;="&amp;N$6,'Invoices - Preopening'!$H$20:$H$299,"&lt;="&amp;N$7,'Invoices - Preopening'!$C$20:$C$299,'Model - Preopening &amp; Fees'!$B18)</f>
        <v>0</v>
      </c>
      <c r="O18" s="115">
        <f>SUMIFS('Invoices - Preopening'!$I$20:$I$299,'Invoices - Preopening'!$H$20:$H$299,"&gt;="&amp;O$6,'Invoices - Preopening'!$H$20:$H$299,"&lt;="&amp;O$7,'Invoices - Preopening'!$C$20:$C$299,'Model - Preopening &amp; Fees'!$B18)</f>
        <v>0</v>
      </c>
      <c r="P18" s="115">
        <f>SUMIFS('Invoices - Preopening'!$I$20:$I$299,'Invoices - Preopening'!$H$20:$H$299,"&gt;="&amp;P$6,'Invoices - Preopening'!$H$20:$H$299,"&lt;="&amp;P$7,'Invoices - Preopening'!$C$20:$C$299,'Model - Preopening &amp; Fees'!$B18)</f>
        <v>0</v>
      </c>
      <c r="Q18" s="115">
        <f>SUMIFS('Invoices - Preopening'!$I$20:$I$299,'Invoices - Preopening'!$H$20:$H$299,"&gt;="&amp;Q$6,'Invoices - Preopening'!$H$20:$H$299,"&lt;="&amp;Q$7,'Invoices - Preopening'!$C$20:$C$299,'Model - Preopening &amp; Fees'!$B18)</f>
        <v>0</v>
      </c>
      <c r="R18" s="115">
        <f>SUMIFS('Invoices - Preopening'!$I$20:$I$299,'Invoices - Preopening'!$H$20:$H$299,"&gt;="&amp;R$6,'Invoices - Preopening'!$H$20:$H$299,"&lt;="&amp;R$7,'Invoices - Preopening'!$C$20:$C$299,'Model - Preopening &amp; Fees'!$B18)</f>
        <v>0</v>
      </c>
      <c r="S18" s="115">
        <f>SUMIFS('Invoices - Preopening'!$I$20:$I$299,'Invoices - Preopening'!$H$20:$H$299,"&gt;="&amp;S$6,'Invoices - Preopening'!$H$20:$H$299,"&lt;="&amp;S$7,'Invoices - Preopening'!$C$20:$C$299,'Model - Preopening &amp; Fees'!$B18)</f>
        <v>0</v>
      </c>
      <c r="T18" s="115">
        <f>SUMIFS('Invoices - Preopening'!$I$20:$I$299,'Invoices - Preopening'!$H$20:$H$299,"&gt;="&amp;T$6,'Invoices - Preopening'!$H$20:$H$299,"&lt;="&amp;T$7,'Invoices - Preopening'!$C$20:$C$299,'Model - Preopening &amp; Fees'!$B18)</f>
        <v>0</v>
      </c>
      <c r="U18" s="115">
        <f>SUMIFS('Invoices - Preopening'!$I$20:$I$299,'Invoices - Preopening'!$H$20:$H$299,"&gt;="&amp;U$6,'Invoices - Preopening'!$H$20:$H$299,"&lt;="&amp;U$7,'Invoices - Preopening'!$C$20:$C$299,'Model - Preopening &amp; Fees'!$B18)</f>
        <v>0</v>
      </c>
      <c r="V18" s="115">
        <f>SUMIFS('Invoices - Preopening'!$I$20:$I$299,'Invoices - Preopening'!$H$20:$H$299,"&gt;="&amp;V$6,'Invoices - Preopening'!$H$20:$H$299,"&lt;="&amp;V$7,'Invoices - Preopening'!$C$20:$C$299,'Model - Preopening &amp; Fees'!$B18)</f>
        <v>0</v>
      </c>
      <c r="W18" s="115">
        <f>SUMIFS('Invoices - Preopening'!$I$20:$I$299,'Invoices - Preopening'!$H$20:$H$299,"&gt;="&amp;W$6,'Invoices - Preopening'!$H$20:$H$299,"&lt;="&amp;W$7,'Invoices - Preopening'!$C$20:$C$299,'Model - Preopening &amp; Fees'!$B18)</f>
        <v>1000</v>
      </c>
      <c r="X18" s="115">
        <f>SUMIFS('Invoices - Preopening'!$I$20:$I$299,'Invoices - Preopening'!$H$20:$H$299,"&gt;="&amp;X$6,'Invoices - Preopening'!$H$20:$H$299,"&lt;="&amp;X$7,'Invoices - Preopening'!$C$20:$C$299,'Model - Preopening &amp; Fees'!$B18)</f>
        <v>0</v>
      </c>
      <c r="Y18" s="115">
        <f>SUMIFS('Invoices - Preopening'!$I$20:$I$299,'Invoices - Preopening'!$H$20:$H$299,"&gt;="&amp;Y$6,'Invoices - Preopening'!$H$20:$H$299,"&lt;="&amp;Y$7,'Invoices - Preopening'!$C$20:$C$299,'Model - Preopening &amp; Fees'!$B18)</f>
        <v>0</v>
      </c>
      <c r="Z18" s="115">
        <f>SUMIFS('Invoices - Preopening'!$I$20:$I$299,'Invoices - Preopening'!$H$20:$H$299,"&gt;="&amp;Z$6,'Invoices - Preopening'!$H$20:$H$299,"&lt;="&amp;Z$7,'Invoices - Preopening'!$C$20:$C$299,'Model - Preopening &amp; Fees'!$B18)</f>
        <v>0</v>
      </c>
      <c r="AA18" s="115">
        <f>SUMIFS('Invoices - Preopening'!$I$20:$I$299,'Invoices - Preopening'!$H$20:$H$299,"&gt;="&amp;AA$6,'Invoices - Preopening'!$H$20:$H$299,"&lt;="&amp;AA$7,'Invoices - Preopening'!$C$20:$C$299,'Model - Preopening &amp; Fees'!$B18)</f>
        <v>0</v>
      </c>
      <c r="AB18" s="115">
        <f>SUMIFS('Invoices - Preopening'!$I$20:$I$299,'Invoices - Preopening'!$H$20:$H$299,"&gt;="&amp;AB$6,'Invoices - Preopening'!$H$20:$H$299,"&lt;="&amp;AB$7,'Invoices - Preopening'!$C$20:$C$299,'Model - Preopening &amp; Fees'!$B18)</f>
        <v>0</v>
      </c>
      <c r="AC18" s="115">
        <f>SUMIFS('Invoices - Preopening'!$I$20:$I$299,'Invoices - Preopening'!$H$20:$H$299,"&gt;="&amp;AC$6,'Invoices - Preopening'!$H$20:$H$299,"&lt;="&amp;AC$7,'Invoices - Preopening'!$C$20:$C$299,'Model - Preopening &amp; Fees'!$B18)</f>
        <v>0</v>
      </c>
      <c r="AD18" s="9">
        <v>0</v>
      </c>
      <c r="AE18" s="9">
        <v>0</v>
      </c>
      <c r="AF18" s="9">
        <v>2000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T18" s="24">
        <f t="shared" ref="AT18:BD19" si="13">-SUMIFS($L18:$AR18,$L$5:$AR$5,AT$5)</f>
        <v>0</v>
      </c>
      <c r="AU18" s="24">
        <f t="shared" si="13"/>
        <v>0</v>
      </c>
      <c r="AV18" s="24">
        <f t="shared" si="13"/>
        <v>0</v>
      </c>
      <c r="AW18" s="24">
        <f t="shared" si="13"/>
        <v>-1000</v>
      </c>
      <c r="AX18" s="24">
        <f t="shared" si="13"/>
        <v>0</v>
      </c>
      <c r="AY18" s="1">
        <f t="shared" si="13"/>
        <v>0</v>
      </c>
      <c r="AZ18" s="1">
        <f t="shared" si="13"/>
        <v>-2000</v>
      </c>
      <c r="BA18" s="1">
        <f t="shared" si="13"/>
        <v>0</v>
      </c>
      <c r="BB18" s="1">
        <f t="shared" si="13"/>
        <v>0</v>
      </c>
      <c r="BC18" s="1">
        <f t="shared" si="13"/>
        <v>0</v>
      </c>
      <c r="BD18" s="1">
        <f t="shared" si="13"/>
        <v>0</v>
      </c>
      <c r="BF18" s="1">
        <f t="shared" ref="BF18:BF19" si="14">SUM(AT18:BD18)</f>
        <v>-3000</v>
      </c>
    </row>
    <row r="19" spans="1:58" x14ac:dyDescent="0.25">
      <c r="A19">
        <v>1</v>
      </c>
      <c r="B19" s="21" t="s">
        <v>235</v>
      </c>
      <c r="C19" s="21"/>
      <c r="D19" s="2" t="s">
        <v>119</v>
      </c>
      <c r="E19" s="2" t="s">
        <v>126</v>
      </c>
      <c r="F19" s="9">
        <v>4000</v>
      </c>
      <c r="G19" s="59">
        <f>SUMIFS($L19:$AR19,$L$7:$AR$7,"&lt;="&amp;$J$4)</f>
        <v>0</v>
      </c>
      <c r="H19" s="59">
        <f t="shared" si="11"/>
        <v>4000</v>
      </c>
      <c r="J19" s="1">
        <f t="shared" si="12"/>
        <v>4000</v>
      </c>
      <c r="L19" s="115">
        <f>SUMIFS('Invoices - Preopening'!$I$20:$I$299,'Invoices - Preopening'!$H$20:$H$299,"&gt;="&amp;L$6,'Invoices - Preopening'!$H$20:$H$299,"&lt;="&amp;L$7,'Invoices - Preopening'!$C$20:$C$299,'Model - Preopening &amp; Fees'!$B19)</f>
        <v>0</v>
      </c>
      <c r="M19" s="115">
        <f>SUMIFS('Invoices - Preopening'!$I$20:$I$299,'Invoices - Preopening'!$H$20:$H$299,"&gt;="&amp;M$6,'Invoices - Preopening'!$H$20:$H$299,"&lt;="&amp;M$7,'Invoices - Preopening'!$C$20:$C$299,'Model - Preopening &amp; Fees'!$B19)</f>
        <v>0</v>
      </c>
      <c r="N19" s="115">
        <f>SUMIFS('Invoices - Preopening'!$I$20:$I$299,'Invoices - Preopening'!$H$20:$H$299,"&gt;="&amp;N$6,'Invoices - Preopening'!$H$20:$H$299,"&lt;="&amp;N$7,'Invoices - Preopening'!$C$20:$C$299,'Model - Preopening &amp; Fees'!$B19)</f>
        <v>0</v>
      </c>
      <c r="O19" s="115">
        <f>SUMIFS('Invoices - Preopening'!$I$20:$I$299,'Invoices - Preopening'!$H$20:$H$299,"&gt;="&amp;O$6,'Invoices - Preopening'!$H$20:$H$299,"&lt;="&amp;O$7,'Invoices - Preopening'!$C$20:$C$299,'Model - Preopening &amp; Fees'!$B19)</f>
        <v>0</v>
      </c>
      <c r="P19" s="115">
        <f>SUMIFS('Invoices - Preopening'!$I$20:$I$299,'Invoices - Preopening'!$H$20:$H$299,"&gt;="&amp;P$6,'Invoices - Preopening'!$H$20:$H$299,"&lt;="&amp;P$7,'Invoices - Preopening'!$C$20:$C$299,'Model - Preopening &amp; Fees'!$B19)</f>
        <v>0</v>
      </c>
      <c r="Q19" s="115">
        <f>SUMIFS('Invoices - Preopening'!$I$20:$I$299,'Invoices - Preopening'!$H$20:$H$299,"&gt;="&amp;Q$6,'Invoices - Preopening'!$H$20:$H$299,"&lt;="&amp;Q$7,'Invoices - Preopening'!$C$20:$C$299,'Model - Preopening &amp; Fees'!$B19)</f>
        <v>0</v>
      </c>
      <c r="R19" s="115">
        <f>SUMIFS('Invoices - Preopening'!$I$20:$I$299,'Invoices - Preopening'!$H$20:$H$299,"&gt;="&amp;R$6,'Invoices - Preopening'!$H$20:$H$299,"&lt;="&amp;R$7,'Invoices - Preopening'!$C$20:$C$299,'Model - Preopening &amp; Fees'!$B19)</f>
        <v>0</v>
      </c>
      <c r="S19" s="115">
        <f>SUMIFS('Invoices - Preopening'!$I$20:$I$299,'Invoices - Preopening'!$H$20:$H$299,"&gt;="&amp;S$6,'Invoices - Preopening'!$H$20:$H$299,"&lt;="&amp;S$7,'Invoices - Preopening'!$C$20:$C$299,'Model - Preopening &amp; Fees'!$B19)</f>
        <v>0</v>
      </c>
      <c r="T19" s="115">
        <f>SUMIFS('Invoices - Preopening'!$I$20:$I$299,'Invoices - Preopening'!$H$20:$H$299,"&gt;="&amp;T$6,'Invoices - Preopening'!$H$20:$H$299,"&lt;="&amp;T$7,'Invoices - Preopening'!$C$20:$C$299,'Model - Preopening &amp; Fees'!$B19)</f>
        <v>0</v>
      </c>
      <c r="U19" s="115">
        <f>SUMIFS('Invoices - Preopening'!$I$20:$I$299,'Invoices - Preopening'!$H$20:$H$299,"&gt;="&amp;U$6,'Invoices - Preopening'!$H$20:$H$299,"&lt;="&amp;U$7,'Invoices - Preopening'!$C$20:$C$299,'Model - Preopening &amp; Fees'!$B19)</f>
        <v>0</v>
      </c>
      <c r="V19" s="115">
        <f>SUMIFS('Invoices - Preopening'!$I$20:$I$299,'Invoices - Preopening'!$H$20:$H$299,"&gt;="&amp;V$6,'Invoices - Preopening'!$H$20:$H$299,"&lt;="&amp;V$7,'Invoices - Preopening'!$C$20:$C$299,'Model - Preopening &amp; Fees'!$B19)</f>
        <v>0</v>
      </c>
      <c r="W19" s="115">
        <f>SUMIFS('Invoices - Preopening'!$I$20:$I$299,'Invoices - Preopening'!$H$20:$H$299,"&gt;="&amp;W$6,'Invoices - Preopening'!$H$20:$H$299,"&lt;="&amp;W$7,'Invoices - Preopening'!$C$20:$C$299,'Model - Preopening &amp; Fees'!$B19)</f>
        <v>0</v>
      </c>
      <c r="X19" s="115">
        <f>SUMIFS('Invoices - Preopening'!$I$20:$I$299,'Invoices - Preopening'!$H$20:$H$299,"&gt;="&amp;X$6,'Invoices - Preopening'!$H$20:$H$299,"&lt;="&amp;X$7,'Invoices - Preopening'!$C$20:$C$299,'Model - Preopening &amp; Fees'!$B19)</f>
        <v>0</v>
      </c>
      <c r="Y19" s="115">
        <f>SUMIFS('Invoices - Preopening'!$I$20:$I$299,'Invoices - Preopening'!$H$20:$H$299,"&gt;="&amp;Y$6,'Invoices - Preopening'!$H$20:$H$299,"&lt;="&amp;Y$7,'Invoices - Preopening'!$C$20:$C$299,'Model - Preopening &amp; Fees'!$B19)</f>
        <v>0</v>
      </c>
      <c r="Z19" s="115">
        <f>SUMIFS('Invoices - Preopening'!$I$20:$I$299,'Invoices - Preopening'!$H$20:$H$299,"&gt;="&amp;Z$6,'Invoices - Preopening'!$H$20:$H$299,"&lt;="&amp;Z$7,'Invoices - Preopening'!$C$20:$C$299,'Model - Preopening &amp; Fees'!$B19)</f>
        <v>0</v>
      </c>
      <c r="AA19" s="115">
        <f>SUMIFS('Invoices - Preopening'!$I$20:$I$299,'Invoices - Preopening'!$H$20:$H$299,"&gt;="&amp;AA$6,'Invoices - Preopening'!$H$20:$H$299,"&lt;="&amp;AA$7,'Invoices - Preopening'!$C$20:$C$299,'Model - Preopening &amp; Fees'!$B19)</f>
        <v>0</v>
      </c>
      <c r="AB19" s="115">
        <f>SUMIFS('Invoices - Preopening'!$I$20:$I$299,'Invoices - Preopening'!$H$20:$H$299,"&gt;="&amp;AB$6,'Invoices - Preopening'!$H$20:$H$299,"&lt;="&amp;AB$7,'Invoices - Preopening'!$C$20:$C$299,'Model - Preopening &amp; Fees'!$B19)</f>
        <v>0</v>
      </c>
      <c r="AC19" s="115">
        <f>SUMIFS('Invoices - Preopening'!$I$20:$I$299,'Invoices - Preopening'!$H$20:$H$299,"&gt;="&amp;AC$6,'Invoices - Preopening'!$H$20:$H$299,"&lt;="&amp;AC$7,'Invoices - Preopening'!$C$20:$C$299,'Model - Preopening &amp; Fees'!$B19)</f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4000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T19" s="24">
        <f t="shared" si="13"/>
        <v>0</v>
      </c>
      <c r="AU19" s="24">
        <f t="shared" si="13"/>
        <v>0</v>
      </c>
      <c r="AV19" s="24">
        <f t="shared" si="13"/>
        <v>0</v>
      </c>
      <c r="AW19" s="24">
        <f t="shared" si="13"/>
        <v>0</v>
      </c>
      <c r="AX19" s="24">
        <f t="shared" si="13"/>
        <v>0</v>
      </c>
      <c r="AY19" s="1">
        <f t="shared" si="13"/>
        <v>0</v>
      </c>
      <c r="AZ19" s="1">
        <f t="shared" si="13"/>
        <v>0</v>
      </c>
      <c r="BA19" s="1">
        <f t="shared" si="13"/>
        <v>0</v>
      </c>
      <c r="BB19" s="1">
        <f t="shared" si="13"/>
        <v>-4000</v>
      </c>
      <c r="BC19" s="1">
        <f t="shared" si="13"/>
        <v>0</v>
      </c>
      <c r="BD19" s="1">
        <f t="shared" si="13"/>
        <v>0</v>
      </c>
      <c r="BF19" s="1">
        <f t="shared" si="14"/>
        <v>-4000</v>
      </c>
    </row>
    <row r="20" spans="1:58" x14ac:dyDescent="0.25">
      <c r="B20" s="21" t="s">
        <v>129</v>
      </c>
      <c r="C20" s="21"/>
      <c r="D20" s="2" t="s">
        <v>119</v>
      </c>
      <c r="E20" s="2" t="s">
        <v>126</v>
      </c>
      <c r="F20" s="9">
        <v>0</v>
      </c>
      <c r="G20" s="59">
        <f t="shared" ref="G20:G22" si="15">SUMIFS($L20:$AR20,$L$7:$AR$7,"&lt;="&amp;$J$4)</f>
        <v>0</v>
      </c>
      <c r="H20" s="59">
        <f t="shared" si="11"/>
        <v>0</v>
      </c>
      <c r="J20" s="1">
        <f t="shared" si="12"/>
        <v>0</v>
      </c>
      <c r="L20" s="115">
        <f>SUMIFS('Invoices - Preopening'!$I$20:$I$299,'Invoices - Preopening'!$H$20:$H$299,"&gt;="&amp;L$6,'Invoices - Preopening'!$H$20:$H$299,"&lt;="&amp;L$7,'Invoices - Preopening'!$C$20:$C$299,'Model - Preopening &amp; Fees'!$B20)</f>
        <v>0</v>
      </c>
      <c r="M20" s="115">
        <f>SUMIFS('Invoices - Preopening'!$I$20:$I$299,'Invoices - Preopening'!$H$20:$H$299,"&gt;="&amp;M$6,'Invoices - Preopening'!$H$20:$H$299,"&lt;="&amp;M$7,'Invoices - Preopening'!$C$20:$C$299,'Model - Preopening &amp; Fees'!$B20)</f>
        <v>0</v>
      </c>
      <c r="N20" s="115">
        <f>SUMIFS('Invoices - Preopening'!$I$20:$I$299,'Invoices - Preopening'!$H$20:$H$299,"&gt;="&amp;N$6,'Invoices - Preopening'!$H$20:$H$299,"&lt;="&amp;N$7,'Invoices - Preopening'!$C$20:$C$299,'Model - Preopening &amp; Fees'!$B20)</f>
        <v>0</v>
      </c>
      <c r="O20" s="115">
        <f>SUMIFS('Invoices - Preopening'!$I$20:$I$299,'Invoices - Preopening'!$H$20:$H$299,"&gt;="&amp;O$6,'Invoices - Preopening'!$H$20:$H$299,"&lt;="&amp;O$7,'Invoices - Preopening'!$C$20:$C$299,'Model - Preopening &amp; Fees'!$B20)</f>
        <v>0</v>
      </c>
      <c r="P20" s="115">
        <f>SUMIFS('Invoices - Preopening'!$I$20:$I$299,'Invoices - Preopening'!$H$20:$H$299,"&gt;="&amp;P$6,'Invoices - Preopening'!$H$20:$H$299,"&lt;="&amp;P$7,'Invoices - Preopening'!$C$20:$C$299,'Model - Preopening &amp; Fees'!$B20)</f>
        <v>0</v>
      </c>
      <c r="Q20" s="115">
        <f>SUMIFS('Invoices - Preopening'!$I$20:$I$299,'Invoices - Preopening'!$H$20:$H$299,"&gt;="&amp;Q$6,'Invoices - Preopening'!$H$20:$H$299,"&lt;="&amp;Q$7,'Invoices - Preopening'!$C$20:$C$299,'Model - Preopening &amp; Fees'!$B20)</f>
        <v>0</v>
      </c>
      <c r="R20" s="115">
        <f>SUMIFS('Invoices - Preopening'!$I$20:$I$299,'Invoices - Preopening'!$H$20:$H$299,"&gt;="&amp;R$6,'Invoices - Preopening'!$H$20:$H$299,"&lt;="&amp;R$7,'Invoices - Preopening'!$C$20:$C$299,'Model - Preopening &amp; Fees'!$B20)</f>
        <v>0</v>
      </c>
      <c r="S20" s="115">
        <f>SUMIFS('Invoices - Preopening'!$I$20:$I$299,'Invoices - Preopening'!$H$20:$H$299,"&gt;="&amp;S$6,'Invoices - Preopening'!$H$20:$H$299,"&lt;="&amp;S$7,'Invoices - Preopening'!$C$20:$C$299,'Model - Preopening &amp; Fees'!$B20)</f>
        <v>0</v>
      </c>
      <c r="T20" s="115">
        <f>SUMIFS('Invoices - Preopening'!$I$20:$I$299,'Invoices - Preopening'!$H$20:$H$299,"&gt;="&amp;T$6,'Invoices - Preopening'!$H$20:$H$299,"&lt;="&amp;T$7,'Invoices - Preopening'!$C$20:$C$299,'Model - Preopening &amp; Fees'!$B20)</f>
        <v>0</v>
      </c>
      <c r="U20" s="115">
        <f>SUMIFS('Invoices - Preopening'!$I$20:$I$299,'Invoices - Preopening'!$H$20:$H$299,"&gt;="&amp;U$6,'Invoices - Preopening'!$H$20:$H$299,"&lt;="&amp;U$7,'Invoices - Preopening'!$C$20:$C$299,'Model - Preopening &amp; Fees'!$B20)</f>
        <v>0</v>
      </c>
      <c r="V20" s="115">
        <f>SUMIFS('Invoices - Preopening'!$I$20:$I$299,'Invoices - Preopening'!$H$20:$H$299,"&gt;="&amp;V$6,'Invoices - Preopening'!$H$20:$H$299,"&lt;="&amp;V$7,'Invoices - Preopening'!$C$20:$C$299,'Model - Preopening &amp; Fees'!$B20)</f>
        <v>0</v>
      </c>
      <c r="W20" s="115">
        <f>SUMIFS('Invoices - Preopening'!$I$20:$I$299,'Invoices - Preopening'!$H$20:$H$299,"&gt;="&amp;W$6,'Invoices - Preopening'!$H$20:$H$299,"&lt;="&amp;W$7,'Invoices - Preopening'!$C$20:$C$299,'Model - Preopening &amp; Fees'!$B20)</f>
        <v>0</v>
      </c>
      <c r="X20" s="115">
        <f>SUMIFS('Invoices - Preopening'!$I$20:$I$299,'Invoices - Preopening'!$H$20:$H$299,"&gt;="&amp;X$6,'Invoices - Preopening'!$H$20:$H$299,"&lt;="&amp;X$7,'Invoices - Preopening'!$C$20:$C$299,'Model - Preopening &amp; Fees'!$B20)</f>
        <v>0</v>
      </c>
      <c r="Y20" s="115">
        <f>SUMIFS('Invoices - Preopening'!$I$20:$I$299,'Invoices - Preopening'!$H$20:$H$299,"&gt;="&amp;Y$6,'Invoices - Preopening'!$H$20:$H$299,"&lt;="&amp;Y$7,'Invoices - Preopening'!$C$20:$C$299,'Model - Preopening &amp; Fees'!$B20)</f>
        <v>0</v>
      </c>
      <c r="Z20" s="115">
        <f>SUMIFS('Invoices - Preopening'!$I$20:$I$299,'Invoices - Preopening'!$H$20:$H$299,"&gt;="&amp;Z$6,'Invoices - Preopening'!$H$20:$H$299,"&lt;="&amp;Z$7,'Invoices - Preopening'!$C$20:$C$299,'Model - Preopening &amp; Fees'!$B20)</f>
        <v>0</v>
      </c>
      <c r="AA20" s="115">
        <f>SUMIFS('Invoices - Preopening'!$I$20:$I$299,'Invoices - Preopening'!$H$20:$H$299,"&gt;="&amp;AA$6,'Invoices - Preopening'!$H$20:$H$299,"&lt;="&amp;AA$7,'Invoices - Preopening'!$C$20:$C$299,'Model - Preopening &amp; Fees'!$B20)</f>
        <v>0</v>
      </c>
      <c r="AB20" s="115">
        <f>SUMIFS('Invoices - Preopening'!$I$20:$I$299,'Invoices - Preopening'!$H$20:$H$299,"&gt;="&amp;AB$6,'Invoices - Preopening'!$H$20:$H$299,"&lt;="&amp;AB$7,'Invoices - Preopening'!$C$20:$C$299,'Model - Preopening &amp; Fees'!$B20)</f>
        <v>0</v>
      </c>
      <c r="AC20" s="115">
        <f>SUMIFS('Invoices - Preopening'!$I$20:$I$299,'Invoices - Preopening'!$H$20:$H$299,"&gt;="&amp;AC$6,'Invoices - Preopening'!$H$20:$H$299,"&lt;="&amp;AC$7,'Invoices - Preopening'!$C$20:$C$299,'Model - Preopening &amp; Fees'!$B20)</f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T20" s="24"/>
      <c r="AU20" s="24"/>
      <c r="AV20" s="24"/>
      <c r="AW20" s="24"/>
      <c r="AX20" s="24"/>
      <c r="AY20" s="1"/>
      <c r="AZ20" s="1"/>
      <c r="BA20" s="1"/>
      <c r="BB20" s="1"/>
      <c r="BC20" s="1"/>
      <c r="BD20" s="1"/>
      <c r="BF20" s="1"/>
    </row>
    <row r="21" spans="1:58" x14ac:dyDescent="0.25">
      <c r="A21">
        <v>1</v>
      </c>
      <c r="B21" s="21" t="s">
        <v>236</v>
      </c>
      <c r="C21" s="21"/>
      <c r="D21" s="2" t="s">
        <v>119</v>
      </c>
      <c r="E21" s="2" t="s">
        <v>126</v>
      </c>
      <c r="F21" s="9">
        <v>4000</v>
      </c>
      <c r="G21" s="59">
        <f t="shared" si="15"/>
        <v>0</v>
      </c>
      <c r="H21" s="59">
        <f t="shared" si="11"/>
        <v>4000</v>
      </c>
      <c r="J21" s="1">
        <f t="shared" si="12"/>
        <v>4000</v>
      </c>
      <c r="L21" s="115">
        <f>SUMIFS('Invoices - Preopening'!$I$20:$I$299,'Invoices - Preopening'!$H$20:$H$299,"&gt;="&amp;L$6,'Invoices - Preopening'!$H$20:$H$299,"&lt;="&amp;L$7,'Invoices - Preopening'!$C$20:$C$299,'Model - Preopening &amp; Fees'!$B21)</f>
        <v>0</v>
      </c>
      <c r="M21" s="115">
        <f>SUMIFS('Invoices - Preopening'!$I$20:$I$299,'Invoices - Preopening'!$H$20:$H$299,"&gt;="&amp;M$6,'Invoices - Preopening'!$H$20:$H$299,"&lt;="&amp;M$7,'Invoices - Preopening'!$C$20:$C$299,'Model - Preopening &amp; Fees'!$B21)</f>
        <v>0</v>
      </c>
      <c r="N21" s="115">
        <f>SUMIFS('Invoices - Preopening'!$I$20:$I$299,'Invoices - Preopening'!$H$20:$H$299,"&gt;="&amp;N$6,'Invoices - Preopening'!$H$20:$H$299,"&lt;="&amp;N$7,'Invoices - Preopening'!$C$20:$C$299,'Model - Preopening &amp; Fees'!$B21)</f>
        <v>0</v>
      </c>
      <c r="O21" s="115">
        <f>SUMIFS('Invoices - Preopening'!$I$20:$I$299,'Invoices - Preopening'!$H$20:$H$299,"&gt;="&amp;O$6,'Invoices - Preopening'!$H$20:$H$299,"&lt;="&amp;O$7,'Invoices - Preopening'!$C$20:$C$299,'Model - Preopening &amp; Fees'!$B21)</f>
        <v>0</v>
      </c>
      <c r="P21" s="115">
        <f>SUMIFS('Invoices - Preopening'!$I$20:$I$299,'Invoices - Preopening'!$H$20:$H$299,"&gt;="&amp;P$6,'Invoices - Preopening'!$H$20:$H$299,"&lt;="&amp;P$7,'Invoices - Preopening'!$C$20:$C$299,'Model - Preopening &amp; Fees'!$B21)</f>
        <v>0</v>
      </c>
      <c r="Q21" s="115">
        <f>SUMIFS('Invoices - Preopening'!$I$20:$I$299,'Invoices - Preopening'!$H$20:$H$299,"&gt;="&amp;Q$6,'Invoices - Preopening'!$H$20:$H$299,"&lt;="&amp;Q$7,'Invoices - Preopening'!$C$20:$C$299,'Model - Preopening &amp; Fees'!$B21)</f>
        <v>0</v>
      </c>
      <c r="R21" s="115">
        <f>SUMIFS('Invoices - Preopening'!$I$20:$I$299,'Invoices - Preopening'!$H$20:$H$299,"&gt;="&amp;R$6,'Invoices - Preopening'!$H$20:$H$299,"&lt;="&amp;R$7,'Invoices - Preopening'!$C$20:$C$299,'Model - Preopening &amp; Fees'!$B21)</f>
        <v>0</v>
      </c>
      <c r="S21" s="115">
        <f>SUMIFS('Invoices - Preopening'!$I$20:$I$299,'Invoices - Preopening'!$H$20:$H$299,"&gt;="&amp;S$6,'Invoices - Preopening'!$H$20:$H$299,"&lt;="&amp;S$7,'Invoices - Preopening'!$C$20:$C$299,'Model - Preopening &amp; Fees'!$B21)</f>
        <v>0</v>
      </c>
      <c r="T21" s="115">
        <f>SUMIFS('Invoices - Preopening'!$I$20:$I$299,'Invoices - Preopening'!$H$20:$H$299,"&gt;="&amp;T$6,'Invoices - Preopening'!$H$20:$H$299,"&lt;="&amp;T$7,'Invoices - Preopening'!$C$20:$C$299,'Model - Preopening &amp; Fees'!$B21)</f>
        <v>0</v>
      </c>
      <c r="U21" s="115">
        <f>SUMIFS('Invoices - Preopening'!$I$20:$I$299,'Invoices - Preopening'!$H$20:$H$299,"&gt;="&amp;U$6,'Invoices - Preopening'!$H$20:$H$299,"&lt;="&amp;U$7,'Invoices - Preopening'!$C$20:$C$299,'Model - Preopening &amp; Fees'!$B21)</f>
        <v>0</v>
      </c>
      <c r="V21" s="115">
        <f>SUMIFS('Invoices - Preopening'!$I$20:$I$299,'Invoices - Preopening'!$H$20:$H$299,"&gt;="&amp;V$6,'Invoices - Preopening'!$H$20:$H$299,"&lt;="&amp;V$7,'Invoices - Preopening'!$C$20:$C$299,'Model - Preopening &amp; Fees'!$B21)</f>
        <v>0</v>
      </c>
      <c r="W21" s="115">
        <f>SUMIFS('Invoices - Preopening'!$I$20:$I$299,'Invoices - Preopening'!$H$20:$H$299,"&gt;="&amp;W$6,'Invoices - Preopening'!$H$20:$H$299,"&lt;="&amp;W$7,'Invoices - Preopening'!$C$20:$C$299,'Model - Preopening &amp; Fees'!$B21)</f>
        <v>0</v>
      </c>
      <c r="X21" s="115">
        <f>SUMIFS('Invoices - Preopening'!$I$20:$I$299,'Invoices - Preopening'!$H$20:$H$299,"&gt;="&amp;X$6,'Invoices - Preopening'!$H$20:$H$299,"&lt;="&amp;X$7,'Invoices - Preopening'!$C$20:$C$299,'Model - Preopening &amp; Fees'!$B21)</f>
        <v>0</v>
      </c>
      <c r="Y21" s="115">
        <f>SUMIFS('Invoices - Preopening'!$I$20:$I$299,'Invoices - Preopening'!$H$20:$H$299,"&gt;="&amp;Y$6,'Invoices - Preopening'!$H$20:$H$299,"&lt;="&amp;Y$7,'Invoices - Preopening'!$C$20:$C$299,'Model - Preopening &amp; Fees'!$B21)</f>
        <v>0</v>
      </c>
      <c r="Z21" s="115">
        <f>SUMIFS('Invoices - Preopening'!$I$20:$I$299,'Invoices - Preopening'!$H$20:$H$299,"&gt;="&amp;Z$6,'Invoices - Preopening'!$H$20:$H$299,"&lt;="&amp;Z$7,'Invoices - Preopening'!$C$20:$C$299,'Model - Preopening &amp; Fees'!$B21)</f>
        <v>0</v>
      </c>
      <c r="AA21" s="115">
        <f>SUMIFS('Invoices - Preopening'!$I$20:$I$299,'Invoices - Preopening'!$H$20:$H$299,"&gt;="&amp;AA$6,'Invoices - Preopening'!$H$20:$H$299,"&lt;="&amp;AA$7,'Invoices - Preopening'!$C$20:$C$299,'Model - Preopening &amp; Fees'!$B21)</f>
        <v>0</v>
      </c>
      <c r="AB21" s="115">
        <f>SUMIFS('Invoices - Preopening'!$I$20:$I$299,'Invoices - Preopening'!$H$20:$H$299,"&gt;="&amp;AB$6,'Invoices - Preopening'!$H$20:$H$299,"&lt;="&amp;AB$7,'Invoices - Preopening'!$C$20:$C$299,'Model - Preopening &amp; Fees'!$B21)</f>
        <v>0</v>
      </c>
      <c r="AC21" s="115">
        <f>SUMIFS('Invoices - Preopening'!$I$20:$I$299,'Invoices - Preopening'!$H$20:$H$299,"&gt;="&amp;AC$6,'Invoices - Preopening'!$H$20:$H$299,"&lt;="&amp;AC$7,'Invoices - Preopening'!$C$20:$C$299,'Model - Preopening &amp; Fees'!$B21)</f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4000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T21" s="24"/>
      <c r="AU21" s="24"/>
      <c r="AV21" s="24"/>
      <c r="AW21" s="24"/>
      <c r="AX21" s="24"/>
      <c r="AY21" s="1"/>
      <c r="AZ21" s="1"/>
      <c r="BA21" s="1"/>
      <c r="BB21" s="1"/>
      <c r="BC21" s="1"/>
      <c r="BD21" s="1"/>
      <c r="BF21" s="1"/>
    </row>
    <row r="22" spans="1:58" x14ac:dyDescent="0.25">
      <c r="A22">
        <v>1</v>
      </c>
      <c r="B22" s="21" t="s">
        <v>237</v>
      </c>
      <c r="C22" s="21"/>
      <c r="D22" s="2" t="s">
        <v>119</v>
      </c>
      <c r="E22" s="2" t="s">
        <v>126</v>
      </c>
      <c r="F22" s="9">
        <v>4000</v>
      </c>
      <c r="G22" s="59">
        <f t="shared" si="15"/>
        <v>0</v>
      </c>
      <c r="H22" s="59">
        <f t="shared" si="11"/>
        <v>4000</v>
      </c>
      <c r="J22" s="1">
        <f t="shared" si="12"/>
        <v>4000</v>
      </c>
      <c r="L22" s="115">
        <f>SUMIFS('Invoices - Preopening'!$I$20:$I$299,'Invoices - Preopening'!$H$20:$H$299,"&gt;="&amp;L$6,'Invoices - Preopening'!$H$20:$H$299,"&lt;="&amp;L$7,'Invoices - Preopening'!$C$20:$C$299,'Model - Preopening &amp; Fees'!$B22)</f>
        <v>0</v>
      </c>
      <c r="M22" s="115">
        <f>SUMIFS('Invoices - Preopening'!$I$20:$I$299,'Invoices - Preopening'!$H$20:$H$299,"&gt;="&amp;M$6,'Invoices - Preopening'!$H$20:$H$299,"&lt;="&amp;M$7,'Invoices - Preopening'!$C$20:$C$299,'Model - Preopening &amp; Fees'!$B22)</f>
        <v>0</v>
      </c>
      <c r="N22" s="115">
        <f>SUMIFS('Invoices - Preopening'!$I$20:$I$299,'Invoices - Preopening'!$H$20:$H$299,"&gt;="&amp;N$6,'Invoices - Preopening'!$H$20:$H$299,"&lt;="&amp;N$7,'Invoices - Preopening'!$C$20:$C$299,'Model - Preopening &amp; Fees'!$B22)</f>
        <v>0</v>
      </c>
      <c r="O22" s="115">
        <f>SUMIFS('Invoices - Preopening'!$I$20:$I$299,'Invoices - Preopening'!$H$20:$H$299,"&gt;="&amp;O$6,'Invoices - Preopening'!$H$20:$H$299,"&lt;="&amp;O$7,'Invoices - Preopening'!$C$20:$C$299,'Model - Preopening &amp; Fees'!$B22)</f>
        <v>0</v>
      </c>
      <c r="P22" s="115">
        <f>SUMIFS('Invoices - Preopening'!$I$20:$I$299,'Invoices - Preopening'!$H$20:$H$299,"&gt;="&amp;P$6,'Invoices - Preopening'!$H$20:$H$299,"&lt;="&amp;P$7,'Invoices - Preopening'!$C$20:$C$299,'Model - Preopening &amp; Fees'!$B22)</f>
        <v>0</v>
      </c>
      <c r="Q22" s="115">
        <f>SUMIFS('Invoices - Preopening'!$I$20:$I$299,'Invoices - Preopening'!$H$20:$H$299,"&gt;="&amp;Q$6,'Invoices - Preopening'!$H$20:$H$299,"&lt;="&amp;Q$7,'Invoices - Preopening'!$C$20:$C$299,'Model - Preopening &amp; Fees'!$B22)</f>
        <v>0</v>
      </c>
      <c r="R22" s="115">
        <f>SUMIFS('Invoices - Preopening'!$I$20:$I$299,'Invoices - Preopening'!$H$20:$H$299,"&gt;="&amp;R$6,'Invoices - Preopening'!$H$20:$H$299,"&lt;="&amp;R$7,'Invoices - Preopening'!$C$20:$C$299,'Model - Preopening &amp; Fees'!$B22)</f>
        <v>0</v>
      </c>
      <c r="S22" s="115">
        <f>SUMIFS('Invoices - Preopening'!$I$20:$I$299,'Invoices - Preopening'!$H$20:$H$299,"&gt;="&amp;S$6,'Invoices - Preopening'!$H$20:$H$299,"&lt;="&amp;S$7,'Invoices - Preopening'!$C$20:$C$299,'Model - Preopening &amp; Fees'!$B22)</f>
        <v>0</v>
      </c>
      <c r="T22" s="115">
        <f>SUMIFS('Invoices - Preopening'!$I$20:$I$299,'Invoices - Preopening'!$H$20:$H$299,"&gt;="&amp;T$6,'Invoices - Preopening'!$H$20:$H$299,"&lt;="&amp;T$7,'Invoices - Preopening'!$C$20:$C$299,'Model - Preopening &amp; Fees'!$B22)</f>
        <v>0</v>
      </c>
      <c r="U22" s="115">
        <f>SUMIFS('Invoices - Preopening'!$I$20:$I$299,'Invoices - Preopening'!$H$20:$H$299,"&gt;="&amp;U$6,'Invoices - Preopening'!$H$20:$H$299,"&lt;="&amp;U$7,'Invoices - Preopening'!$C$20:$C$299,'Model - Preopening &amp; Fees'!$B22)</f>
        <v>0</v>
      </c>
      <c r="V22" s="115">
        <f>SUMIFS('Invoices - Preopening'!$I$20:$I$299,'Invoices - Preopening'!$H$20:$H$299,"&gt;="&amp;V$6,'Invoices - Preopening'!$H$20:$H$299,"&lt;="&amp;V$7,'Invoices - Preopening'!$C$20:$C$299,'Model - Preopening &amp; Fees'!$B22)</f>
        <v>0</v>
      </c>
      <c r="W22" s="115">
        <f>SUMIFS('Invoices - Preopening'!$I$20:$I$299,'Invoices - Preopening'!$H$20:$H$299,"&gt;="&amp;W$6,'Invoices - Preopening'!$H$20:$H$299,"&lt;="&amp;W$7,'Invoices - Preopening'!$C$20:$C$299,'Model - Preopening &amp; Fees'!$B22)</f>
        <v>0</v>
      </c>
      <c r="X22" s="115">
        <f>SUMIFS('Invoices - Preopening'!$I$20:$I$299,'Invoices - Preopening'!$H$20:$H$299,"&gt;="&amp;X$6,'Invoices - Preopening'!$H$20:$H$299,"&lt;="&amp;X$7,'Invoices - Preopening'!$C$20:$C$299,'Model - Preopening &amp; Fees'!$B22)</f>
        <v>0</v>
      </c>
      <c r="Y22" s="115">
        <f>SUMIFS('Invoices - Preopening'!$I$20:$I$299,'Invoices - Preopening'!$H$20:$H$299,"&gt;="&amp;Y$6,'Invoices - Preopening'!$H$20:$H$299,"&lt;="&amp;Y$7,'Invoices - Preopening'!$C$20:$C$299,'Model - Preopening &amp; Fees'!$B22)</f>
        <v>0</v>
      </c>
      <c r="Z22" s="115">
        <f>SUMIFS('Invoices - Preopening'!$I$20:$I$299,'Invoices - Preopening'!$H$20:$H$299,"&gt;="&amp;Z$6,'Invoices - Preopening'!$H$20:$H$299,"&lt;="&amp;Z$7,'Invoices - Preopening'!$C$20:$C$299,'Model - Preopening &amp; Fees'!$B22)</f>
        <v>0</v>
      </c>
      <c r="AA22" s="115">
        <f>SUMIFS('Invoices - Preopening'!$I$20:$I$299,'Invoices - Preopening'!$H$20:$H$299,"&gt;="&amp;AA$6,'Invoices - Preopening'!$H$20:$H$299,"&lt;="&amp;AA$7,'Invoices - Preopening'!$C$20:$C$299,'Model - Preopening &amp; Fees'!$B22)</f>
        <v>0</v>
      </c>
      <c r="AB22" s="115">
        <f>SUMIFS('Invoices - Preopening'!$I$20:$I$299,'Invoices - Preopening'!$H$20:$H$299,"&gt;="&amp;AB$6,'Invoices - Preopening'!$H$20:$H$299,"&lt;="&amp;AB$7,'Invoices - Preopening'!$C$20:$C$299,'Model - Preopening &amp; Fees'!$B22)</f>
        <v>0</v>
      </c>
      <c r="AC22" s="115">
        <f>SUMIFS('Invoices - Preopening'!$I$20:$I$299,'Invoices - Preopening'!$H$20:$H$299,"&gt;="&amp;AC$6,'Invoices - Preopening'!$H$20:$H$299,"&lt;="&amp;AC$7,'Invoices - Preopening'!$C$20:$C$299,'Model - Preopening &amp; Fees'!$B22)</f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4000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T22" s="24"/>
      <c r="AU22" s="24"/>
      <c r="AV22" s="24"/>
      <c r="AW22" s="24"/>
      <c r="AX22" s="24"/>
      <c r="AY22" s="1"/>
      <c r="AZ22" s="1"/>
      <c r="BA22" s="1"/>
      <c r="BB22" s="1"/>
      <c r="BC22" s="1"/>
      <c r="BD22" s="1"/>
      <c r="BF22" s="1"/>
    </row>
    <row r="23" spans="1:58" x14ac:dyDescent="0.25">
      <c r="B23" s="21"/>
      <c r="C23" s="21"/>
      <c r="D23" s="2"/>
      <c r="E23" s="2"/>
      <c r="F23" s="9"/>
      <c r="G23" s="59"/>
      <c r="H23" s="59"/>
      <c r="J23" s="1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T23" s="24"/>
      <c r="AU23" s="24"/>
      <c r="AV23" s="24"/>
      <c r="AW23" s="24"/>
      <c r="AX23" s="24"/>
      <c r="AY23" s="1"/>
      <c r="AZ23" s="1"/>
      <c r="BA23" s="1"/>
      <c r="BB23" s="1"/>
      <c r="BC23" s="1"/>
      <c r="BD23" s="1"/>
      <c r="BF23" s="1"/>
    </row>
    <row r="24" spans="1:58" x14ac:dyDescent="0.25">
      <c r="B24" s="141" t="s">
        <v>243</v>
      </c>
      <c r="C24" s="141"/>
      <c r="D24" s="142"/>
      <c r="E24" s="142"/>
      <c r="F24" s="141"/>
      <c r="G24" s="141"/>
      <c r="H24" s="141"/>
      <c r="J24" s="110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1"/>
      <c r="BF24" s="141"/>
    </row>
    <row r="25" spans="1:58" x14ac:dyDescent="0.25">
      <c r="A25">
        <v>1</v>
      </c>
      <c r="B25" s="21" t="s">
        <v>238</v>
      </c>
      <c r="C25" s="21"/>
      <c r="D25" s="2" t="s">
        <v>119</v>
      </c>
      <c r="E25" s="2" t="s">
        <v>126</v>
      </c>
      <c r="F25" s="9">
        <v>15000</v>
      </c>
      <c r="G25" s="59">
        <f>SUMIFS($L25:$AR25,$L$7:$AR$7,"&lt;="&amp;$J$4)</f>
        <v>0</v>
      </c>
      <c r="H25" s="59">
        <f t="shared" ref="H25:H26" si="16">J25-G25</f>
        <v>15000</v>
      </c>
      <c r="J25" s="1">
        <f t="shared" ref="J25:J26" si="17">SUM(L25:AR25)</f>
        <v>15000</v>
      </c>
      <c r="L25" s="115">
        <f>SUMIFS('Invoices - Preopening'!$I$20:$I$299,'Invoices - Preopening'!$H$20:$H$299,"&gt;="&amp;L$6,'Invoices - Preopening'!$H$20:$H$299,"&lt;="&amp;L$7,'Invoices - Preopening'!$C$20:$C$299,'Model - Preopening &amp; Fees'!$B25)</f>
        <v>0</v>
      </c>
      <c r="M25" s="115">
        <f>SUMIFS('Invoices - Preopening'!$I$20:$I$299,'Invoices - Preopening'!$H$20:$H$299,"&gt;="&amp;M$6,'Invoices - Preopening'!$H$20:$H$299,"&lt;="&amp;M$7,'Invoices - Preopening'!$C$20:$C$299,'Model - Preopening &amp; Fees'!$B25)</f>
        <v>0</v>
      </c>
      <c r="N25" s="115">
        <f>SUMIFS('Invoices - Preopening'!$I$20:$I$299,'Invoices - Preopening'!$H$20:$H$299,"&gt;="&amp;N$6,'Invoices - Preopening'!$H$20:$H$299,"&lt;="&amp;N$7,'Invoices - Preopening'!$C$20:$C$299,'Model - Preopening &amp; Fees'!$B25)</f>
        <v>0</v>
      </c>
      <c r="O25" s="115">
        <f>SUMIFS('Invoices - Preopening'!$I$20:$I$299,'Invoices - Preopening'!$H$20:$H$299,"&gt;="&amp;O$6,'Invoices - Preopening'!$H$20:$H$299,"&lt;="&amp;O$7,'Invoices - Preopening'!$C$20:$C$299,'Model - Preopening &amp; Fees'!$B25)</f>
        <v>0</v>
      </c>
      <c r="P25" s="115">
        <f>SUMIFS('Invoices - Preopening'!$I$20:$I$299,'Invoices - Preopening'!$H$20:$H$299,"&gt;="&amp;P$6,'Invoices - Preopening'!$H$20:$H$299,"&lt;="&amp;P$7,'Invoices - Preopening'!$C$20:$C$299,'Model - Preopening &amp; Fees'!$B25)</f>
        <v>0</v>
      </c>
      <c r="Q25" s="115">
        <f>SUMIFS('Invoices - Preopening'!$I$20:$I$299,'Invoices - Preopening'!$H$20:$H$299,"&gt;="&amp;Q$6,'Invoices - Preopening'!$H$20:$H$299,"&lt;="&amp;Q$7,'Invoices - Preopening'!$C$20:$C$299,'Model - Preopening &amp; Fees'!$B25)</f>
        <v>0</v>
      </c>
      <c r="R25" s="115">
        <f>SUMIFS('Invoices - Preopening'!$I$20:$I$299,'Invoices - Preopening'!$H$20:$H$299,"&gt;="&amp;R$6,'Invoices - Preopening'!$H$20:$H$299,"&lt;="&amp;R$7,'Invoices - Preopening'!$C$20:$C$299,'Model - Preopening &amp; Fees'!$B25)</f>
        <v>0</v>
      </c>
      <c r="S25" s="115">
        <f>SUMIFS('Invoices - Preopening'!$I$20:$I$299,'Invoices - Preopening'!$H$20:$H$299,"&gt;="&amp;S$6,'Invoices - Preopening'!$H$20:$H$299,"&lt;="&amp;S$7,'Invoices - Preopening'!$C$20:$C$299,'Model - Preopening &amp; Fees'!$B25)</f>
        <v>0</v>
      </c>
      <c r="T25" s="115">
        <f>SUMIFS('Invoices - Preopening'!$I$20:$I$299,'Invoices - Preopening'!$H$20:$H$299,"&gt;="&amp;T$6,'Invoices - Preopening'!$H$20:$H$299,"&lt;="&amp;T$7,'Invoices - Preopening'!$C$20:$C$299,'Model - Preopening &amp; Fees'!$B25)</f>
        <v>0</v>
      </c>
      <c r="U25" s="115">
        <f>SUMIFS('Invoices - Preopening'!$I$20:$I$299,'Invoices - Preopening'!$H$20:$H$299,"&gt;="&amp;U$6,'Invoices - Preopening'!$H$20:$H$299,"&lt;="&amp;U$7,'Invoices - Preopening'!$C$20:$C$299,'Model - Preopening &amp; Fees'!$B25)</f>
        <v>0</v>
      </c>
      <c r="V25" s="115">
        <f>SUMIFS('Invoices - Preopening'!$I$20:$I$299,'Invoices - Preopening'!$H$20:$H$299,"&gt;="&amp;V$6,'Invoices - Preopening'!$H$20:$H$299,"&lt;="&amp;V$7,'Invoices - Preopening'!$C$20:$C$299,'Model - Preopening &amp; Fees'!$B25)</f>
        <v>0</v>
      </c>
      <c r="W25" s="115">
        <f>SUMIFS('Invoices - Preopening'!$I$20:$I$299,'Invoices - Preopening'!$H$20:$H$299,"&gt;="&amp;W$6,'Invoices - Preopening'!$H$20:$H$299,"&lt;="&amp;W$7,'Invoices - Preopening'!$C$20:$C$299,'Model - Preopening &amp; Fees'!$B25)</f>
        <v>0</v>
      </c>
      <c r="X25" s="115">
        <f>SUMIFS('Invoices - Preopening'!$I$20:$I$299,'Invoices - Preopening'!$H$20:$H$299,"&gt;="&amp;X$6,'Invoices - Preopening'!$H$20:$H$299,"&lt;="&amp;X$7,'Invoices - Preopening'!$C$20:$C$299,'Model - Preopening &amp; Fees'!$B25)</f>
        <v>0</v>
      </c>
      <c r="Y25" s="115">
        <f>SUMIFS('Invoices - Preopening'!$I$20:$I$299,'Invoices - Preopening'!$H$20:$H$299,"&gt;="&amp;Y$6,'Invoices - Preopening'!$H$20:$H$299,"&lt;="&amp;Y$7,'Invoices - Preopening'!$C$20:$C$299,'Model - Preopening &amp; Fees'!$B25)</f>
        <v>0</v>
      </c>
      <c r="Z25" s="115">
        <f>SUMIFS('Invoices - Preopening'!$I$20:$I$299,'Invoices - Preopening'!$H$20:$H$299,"&gt;="&amp;Z$6,'Invoices - Preopening'!$H$20:$H$299,"&lt;="&amp;Z$7,'Invoices - Preopening'!$C$20:$C$299,'Model - Preopening &amp; Fees'!$B25)</f>
        <v>0</v>
      </c>
      <c r="AA25" s="115">
        <f>SUMIFS('Invoices - Preopening'!$I$20:$I$299,'Invoices - Preopening'!$H$20:$H$299,"&gt;="&amp;AA$6,'Invoices - Preopening'!$H$20:$H$299,"&lt;="&amp;AA$7,'Invoices - Preopening'!$C$20:$C$299,'Model - Preopening &amp; Fees'!$B25)</f>
        <v>0</v>
      </c>
      <c r="AB25" s="115">
        <f>SUMIFS('Invoices - Preopening'!$I$20:$I$299,'Invoices - Preopening'!$H$20:$H$299,"&gt;="&amp;AB$6,'Invoices - Preopening'!$H$20:$H$299,"&lt;="&amp;AB$7,'Invoices - Preopening'!$C$20:$C$299,'Model - Preopening &amp; Fees'!$B25)</f>
        <v>0</v>
      </c>
      <c r="AC25" s="115">
        <f>SUMIFS('Invoices - Preopening'!$I$20:$I$299,'Invoices - Preopening'!$H$20:$H$299,"&gt;="&amp;AC$6,'Invoices - Preopening'!$H$20:$H$299,"&lt;="&amp;AC$7,'Invoices - Preopening'!$C$20:$C$299,'Model - Preopening &amp; Fees'!$B25)</f>
        <v>0</v>
      </c>
      <c r="AD25" s="9">
        <v>7500</v>
      </c>
      <c r="AE25" s="9">
        <v>7500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T25" s="24">
        <f t="shared" ref="AT25:BD26" si="18">-SUMIFS($L25:$AR25,$L$5:$AR$5,AT$5)</f>
        <v>0</v>
      </c>
      <c r="AU25" s="24">
        <f t="shared" si="18"/>
        <v>0</v>
      </c>
      <c r="AV25" s="24">
        <f t="shared" si="18"/>
        <v>0</v>
      </c>
      <c r="AW25" s="24">
        <f t="shared" si="18"/>
        <v>0</v>
      </c>
      <c r="AX25" s="24">
        <f t="shared" si="18"/>
        <v>0</v>
      </c>
      <c r="AY25" s="1">
        <f t="shared" si="18"/>
        <v>0</v>
      </c>
      <c r="AZ25" s="1">
        <f t="shared" si="18"/>
        <v>-15000</v>
      </c>
      <c r="BA25" s="1">
        <f t="shared" si="18"/>
        <v>0</v>
      </c>
      <c r="BB25" s="1">
        <f t="shared" si="18"/>
        <v>0</v>
      </c>
      <c r="BC25" s="1">
        <f t="shared" si="18"/>
        <v>0</v>
      </c>
      <c r="BD25" s="1">
        <f t="shared" si="18"/>
        <v>0</v>
      </c>
      <c r="BF25" s="1">
        <f t="shared" ref="BF25:BF26" si="19">SUM(AT25:BD25)</f>
        <v>-15000</v>
      </c>
    </row>
    <row r="26" spans="1:58" x14ac:dyDescent="0.25">
      <c r="A26">
        <v>1</v>
      </c>
      <c r="B26" s="21" t="s">
        <v>130</v>
      </c>
      <c r="C26" s="21"/>
      <c r="D26" s="2" t="s">
        <v>119</v>
      </c>
      <c r="E26" s="2" t="s">
        <v>126</v>
      </c>
      <c r="F26" s="9">
        <v>2000</v>
      </c>
      <c r="G26" s="59">
        <f>SUMIFS($L26:$AR26,$L$7:$AR$7,"&lt;="&amp;$J$4)</f>
        <v>0</v>
      </c>
      <c r="H26" s="59">
        <f t="shared" si="16"/>
        <v>2000</v>
      </c>
      <c r="J26" s="1">
        <f t="shared" si="17"/>
        <v>2000</v>
      </c>
      <c r="L26" s="115">
        <f>SUMIFS('Invoices - Preopening'!$I$20:$I$299,'Invoices - Preopening'!$H$20:$H$299,"&gt;="&amp;L$6,'Invoices - Preopening'!$H$20:$H$299,"&lt;="&amp;L$7,'Invoices - Preopening'!$C$20:$C$299,'Model - Preopening &amp; Fees'!$B26)</f>
        <v>0</v>
      </c>
      <c r="M26" s="115">
        <f>SUMIFS('Invoices - Preopening'!$I$20:$I$299,'Invoices - Preopening'!$H$20:$H$299,"&gt;="&amp;M$6,'Invoices - Preopening'!$H$20:$H$299,"&lt;="&amp;M$7,'Invoices - Preopening'!$C$20:$C$299,'Model - Preopening &amp; Fees'!$B26)</f>
        <v>0</v>
      </c>
      <c r="N26" s="115">
        <f>SUMIFS('Invoices - Preopening'!$I$20:$I$299,'Invoices - Preopening'!$H$20:$H$299,"&gt;="&amp;N$6,'Invoices - Preopening'!$H$20:$H$299,"&lt;="&amp;N$7,'Invoices - Preopening'!$C$20:$C$299,'Model - Preopening &amp; Fees'!$B26)</f>
        <v>0</v>
      </c>
      <c r="O26" s="115">
        <f>SUMIFS('Invoices - Preopening'!$I$20:$I$299,'Invoices - Preopening'!$H$20:$H$299,"&gt;="&amp;O$6,'Invoices - Preopening'!$H$20:$H$299,"&lt;="&amp;O$7,'Invoices - Preopening'!$C$20:$C$299,'Model - Preopening &amp; Fees'!$B26)</f>
        <v>0</v>
      </c>
      <c r="P26" s="115">
        <f>SUMIFS('Invoices - Preopening'!$I$20:$I$299,'Invoices - Preopening'!$H$20:$H$299,"&gt;="&amp;P$6,'Invoices - Preopening'!$H$20:$H$299,"&lt;="&amp;P$7,'Invoices - Preopening'!$C$20:$C$299,'Model - Preopening &amp; Fees'!$B26)</f>
        <v>0</v>
      </c>
      <c r="Q26" s="115">
        <f>SUMIFS('Invoices - Preopening'!$I$20:$I$299,'Invoices - Preopening'!$H$20:$H$299,"&gt;="&amp;Q$6,'Invoices - Preopening'!$H$20:$H$299,"&lt;="&amp;Q$7,'Invoices - Preopening'!$C$20:$C$299,'Model - Preopening &amp; Fees'!$B26)</f>
        <v>0</v>
      </c>
      <c r="R26" s="115">
        <f>SUMIFS('Invoices - Preopening'!$I$20:$I$299,'Invoices - Preopening'!$H$20:$H$299,"&gt;="&amp;R$6,'Invoices - Preopening'!$H$20:$H$299,"&lt;="&amp;R$7,'Invoices - Preopening'!$C$20:$C$299,'Model - Preopening &amp; Fees'!$B26)</f>
        <v>0</v>
      </c>
      <c r="S26" s="115">
        <f>SUMIFS('Invoices - Preopening'!$I$20:$I$299,'Invoices - Preopening'!$H$20:$H$299,"&gt;="&amp;S$6,'Invoices - Preopening'!$H$20:$H$299,"&lt;="&amp;S$7,'Invoices - Preopening'!$C$20:$C$299,'Model - Preopening &amp; Fees'!$B26)</f>
        <v>0</v>
      </c>
      <c r="T26" s="115">
        <f>SUMIFS('Invoices - Preopening'!$I$20:$I$299,'Invoices - Preopening'!$H$20:$H$299,"&gt;="&amp;T$6,'Invoices - Preopening'!$H$20:$H$299,"&lt;="&amp;T$7,'Invoices - Preopening'!$C$20:$C$299,'Model - Preopening &amp; Fees'!$B26)</f>
        <v>0</v>
      </c>
      <c r="U26" s="115">
        <f>SUMIFS('Invoices - Preopening'!$I$20:$I$299,'Invoices - Preopening'!$H$20:$H$299,"&gt;="&amp;U$6,'Invoices - Preopening'!$H$20:$H$299,"&lt;="&amp;U$7,'Invoices - Preopening'!$C$20:$C$299,'Model - Preopening &amp; Fees'!$B26)</f>
        <v>0</v>
      </c>
      <c r="V26" s="115">
        <f>SUMIFS('Invoices - Preopening'!$I$20:$I$299,'Invoices - Preopening'!$H$20:$H$299,"&gt;="&amp;V$6,'Invoices - Preopening'!$H$20:$H$299,"&lt;="&amp;V$7,'Invoices - Preopening'!$C$20:$C$299,'Model - Preopening &amp; Fees'!$B26)</f>
        <v>0</v>
      </c>
      <c r="W26" s="115">
        <f>SUMIFS('Invoices - Preopening'!$I$20:$I$299,'Invoices - Preopening'!$H$20:$H$299,"&gt;="&amp;W$6,'Invoices - Preopening'!$H$20:$H$299,"&lt;="&amp;W$7,'Invoices - Preopening'!$C$20:$C$299,'Model - Preopening &amp; Fees'!$B26)</f>
        <v>0</v>
      </c>
      <c r="X26" s="115">
        <f>SUMIFS('Invoices - Preopening'!$I$20:$I$299,'Invoices - Preopening'!$H$20:$H$299,"&gt;="&amp;X$6,'Invoices - Preopening'!$H$20:$H$299,"&lt;="&amp;X$7,'Invoices - Preopening'!$C$20:$C$299,'Model - Preopening &amp; Fees'!$B26)</f>
        <v>0</v>
      </c>
      <c r="Y26" s="115">
        <f>SUMIFS('Invoices - Preopening'!$I$20:$I$299,'Invoices - Preopening'!$H$20:$H$299,"&gt;="&amp;Y$6,'Invoices - Preopening'!$H$20:$H$299,"&lt;="&amp;Y$7,'Invoices - Preopening'!$C$20:$C$299,'Model - Preopening &amp; Fees'!$B26)</f>
        <v>0</v>
      </c>
      <c r="Z26" s="115">
        <f>SUMIFS('Invoices - Preopening'!$I$20:$I$299,'Invoices - Preopening'!$H$20:$H$299,"&gt;="&amp;Z$6,'Invoices - Preopening'!$H$20:$H$299,"&lt;="&amp;Z$7,'Invoices - Preopening'!$C$20:$C$299,'Model - Preopening &amp; Fees'!$B26)</f>
        <v>0</v>
      </c>
      <c r="AA26" s="115">
        <f>SUMIFS('Invoices - Preopening'!$I$20:$I$299,'Invoices - Preopening'!$H$20:$H$299,"&gt;="&amp;AA$6,'Invoices - Preopening'!$H$20:$H$299,"&lt;="&amp;AA$7,'Invoices - Preopening'!$C$20:$C$299,'Model - Preopening &amp; Fees'!$B26)</f>
        <v>0</v>
      </c>
      <c r="AB26" s="115">
        <f>SUMIFS('Invoices - Preopening'!$I$20:$I$299,'Invoices - Preopening'!$H$20:$H$299,"&gt;="&amp;AB$6,'Invoices - Preopening'!$H$20:$H$299,"&lt;="&amp;AB$7,'Invoices - Preopening'!$C$20:$C$299,'Model - Preopening &amp; Fees'!$B26)</f>
        <v>0</v>
      </c>
      <c r="AC26" s="115">
        <f>SUMIFS('Invoices - Preopening'!$I$20:$I$299,'Invoices - Preopening'!$H$20:$H$299,"&gt;="&amp;AC$6,'Invoices - Preopening'!$H$20:$H$299,"&lt;="&amp;AC$7,'Invoices - Preopening'!$C$20:$C$299,'Model - Preopening &amp; Fees'!$B26)</f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2000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T26" s="24">
        <f t="shared" si="18"/>
        <v>0</v>
      </c>
      <c r="AU26" s="24">
        <f t="shared" si="18"/>
        <v>0</v>
      </c>
      <c r="AV26" s="24">
        <f t="shared" si="18"/>
        <v>0</v>
      </c>
      <c r="AW26" s="24">
        <f t="shared" si="18"/>
        <v>0</v>
      </c>
      <c r="AX26" s="24">
        <f t="shared" si="18"/>
        <v>0</v>
      </c>
      <c r="AY26" s="1">
        <f t="shared" si="18"/>
        <v>0</v>
      </c>
      <c r="AZ26" s="1">
        <f t="shared" si="18"/>
        <v>0</v>
      </c>
      <c r="BA26" s="1">
        <f t="shared" si="18"/>
        <v>0</v>
      </c>
      <c r="BB26" s="1">
        <f t="shared" si="18"/>
        <v>-2000</v>
      </c>
      <c r="BC26" s="1">
        <f t="shared" si="18"/>
        <v>0</v>
      </c>
      <c r="BD26" s="1">
        <f t="shared" si="18"/>
        <v>0</v>
      </c>
      <c r="BF26" s="1">
        <f t="shared" si="19"/>
        <v>-2000</v>
      </c>
    </row>
    <row r="27" spans="1:58" x14ac:dyDescent="0.25">
      <c r="B27" s="21"/>
      <c r="C27" s="21"/>
      <c r="D27" s="2"/>
      <c r="E27" s="2"/>
      <c r="F27" s="9"/>
      <c r="G27" s="59"/>
      <c r="H27" s="59"/>
      <c r="J27" s="1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T27" s="24"/>
      <c r="AU27" s="24"/>
      <c r="AV27" s="24"/>
      <c r="AW27" s="24"/>
      <c r="AX27" s="24"/>
      <c r="AY27" s="1"/>
      <c r="AZ27" s="1"/>
      <c r="BA27" s="1"/>
      <c r="BB27" s="1"/>
      <c r="BC27" s="1"/>
      <c r="BD27" s="1"/>
      <c r="BF27" s="1"/>
    </row>
    <row r="28" spans="1:58" x14ac:dyDescent="0.25">
      <c r="B28" s="141" t="s">
        <v>131</v>
      </c>
      <c r="C28" s="141"/>
      <c r="D28" s="142"/>
      <c r="E28" s="142"/>
      <c r="F28" s="141"/>
      <c r="G28" s="141"/>
      <c r="H28" s="141"/>
      <c r="J28" s="110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F28" s="141"/>
    </row>
    <row r="29" spans="1:58" x14ac:dyDescent="0.25">
      <c r="A29">
        <v>1</v>
      </c>
      <c r="B29" s="21" t="s">
        <v>239</v>
      </c>
      <c r="C29" s="21"/>
      <c r="D29" s="2" t="s">
        <v>119</v>
      </c>
      <c r="E29" s="2" t="s">
        <v>126</v>
      </c>
      <c r="F29" s="9">
        <v>13200</v>
      </c>
      <c r="G29" s="59">
        <f t="shared" ref="G29" si="20">SUMIFS($L29:$AR29,$L$7:$AR$7,"&lt;="&amp;$J$4)</f>
        <v>0</v>
      </c>
      <c r="H29" s="59">
        <f t="shared" ref="H29:H30" si="21">J29-G29</f>
        <v>11200</v>
      </c>
      <c r="J29" s="1">
        <f t="shared" ref="J29:J30" si="22">SUM(L29:AR29)</f>
        <v>11200</v>
      </c>
      <c r="L29" s="115">
        <f>SUMIFS('Invoices - Preopening'!$I$20:$I$299,'Invoices - Preopening'!$H$20:$H$299,"&gt;="&amp;L$6,'Invoices - Preopening'!$H$20:$H$299,"&lt;="&amp;L$7,'Invoices - Preopening'!$C$20:$C$299,'Model - Preopening &amp; Fees'!$B29)</f>
        <v>0</v>
      </c>
      <c r="M29" s="115">
        <f>SUMIFS('Invoices - Preopening'!$I$20:$I$299,'Invoices - Preopening'!$H$20:$H$299,"&gt;="&amp;M$6,'Invoices - Preopening'!$H$20:$H$299,"&lt;="&amp;M$7,'Invoices - Preopening'!$C$20:$C$299,'Model - Preopening &amp; Fees'!$B29)</f>
        <v>0</v>
      </c>
      <c r="N29" s="115">
        <f>SUMIFS('Invoices - Preopening'!$I$20:$I$299,'Invoices - Preopening'!$H$20:$H$299,"&gt;="&amp;N$6,'Invoices - Preopening'!$H$20:$H$299,"&lt;="&amp;N$7,'Invoices - Preopening'!$C$20:$C$299,'Model - Preopening &amp; Fees'!$B29)</f>
        <v>0</v>
      </c>
      <c r="O29" s="115">
        <f>SUMIFS('Invoices - Preopening'!$I$20:$I$299,'Invoices - Preopening'!$H$20:$H$299,"&gt;="&amp;O$6,'Invoices - Preopening'!$H$20:$H$299,"&lt;="&amp;O$7,'Invoices - Preopening'!$C$20:$C$299,'Model - Preopening &amp; Fees'!$B29)</f>
        <v>0</v>
      </c>
      <c r="P29" s="115">
        <f>SUMIFS('Invoices - Preopening'!$I$20:$I$299,'Invoices - Preopening'!$H$20:$H$299,"&gt;="&amp;P$6,'Invoices - Preopening'!$H$20:$H$299,"&lt;="&amp;P$7,'Invoices - Preopening'!$C$20:$C$299,'Model - Preopening &amp; Fees'!$B29)</f>
        <v>0</v>
      </c>
      <c r="Q29" s="115">
        <f>SUMIFS('Invoices - Preopening'!$I$20:$I$299,'Invoices - Preopening'!$H$20:$H$299,"&gt;="&amp;Q$6,'Invoices - Preopening'!$H$20:$H$299,"&lt;="&amp;Q$7,'Invoices - Preopening'!$C$20:$C$299,'Model - Preopening &amp; Fees'!$B29)</f>
        <v>0</v>
      </c>
      <c r="R29" s="115">
        <f>SUMIFS('Invoices - Preopening'!$I$20:$I$299,'Invoices - Preopening'!$H$20:$H$299,"&gt;="&amp;R$6,'Invoices - Preopening'!$H$20:$H$299,"&lt;="&amp;R$7,'Invoices - Preopening'!$C$20:$C$299,'Model - Preopening &amp; Fees'!$B29)</f>
        <v>0</v>
      </c>
      <c r="S29" s="115">
        <f>SUMIFS('Invoices - Preopening'!$I$20:$I$299,'Invoices - Preopening'!$H$20:$H$299,"&gt;="&amp;S$6,'Invoices - Preopening'!$H$20:$H$299,"&lt;="&amp;S$7,'Invoices - Preopening'!$C$20:$C$299,'Model - Preopening &amp; Fees'!$B29)</f>
        <v>0</v>
      </c>
      <c r="T29" s="115">
        <f>SUMIFS('Invoices - Preopening'!$I$20:$I$299,'Invoices - Preopening'!$H$20:$H$299,"&gt;="&amp;T$6,'Invoices - Preopening'!$H$20:$H$299,"&lt;="&amp;T$7,'Invoices - Preopening'!$C$20:$C$299,'Model - Preopening &amp; Fees'!$B29)</f>
        <v>0</v>
      </c>
      <c r="U29" s="115">
        <f>SUMIFS('Invoices - Preopening'!$I$20:$I$299,'Invoices - Preopening'!$H$20:$H$299,"&gt;="&amp;U$6,'Invoices - Preopening'!$H$20:$H$299,"&lt;="&amp;U$7,'Invoices - Preopening'!$C$20:$C$299,'Model - Preopening &amp; Fees'!$B29)</f>
        <v>0</v>
      </c>
      <c r="V29" s="115">
        <f>SUMIFS('Invoices - Preopening'!$I$20:$I$299,'Invoices - Preopening'!$H$20:$H$299,"&gt;="&amp;V$6,'Invoices - Preopening'!$H$20:$H$299,"&lt;="&amp;V$7,'Invoices - Preopening'!$C$20:$C$299,'Model - Preopening &amp; Fees'!$B29)</f>
        <v>0</v>
      </c>
      <c r="W29" s="115">
        <f>SUMIFS('Invoices - Preopening'!$I$20:$I$299,'Invoices - Preopening'!$H$20:$H$299,"&gt;="&amp;W$6,'Invoices - Preopening'!$H$20:$H$299,"&lt;="&amp;W$7,'Invoices - Preopening'!$C$20:$C$299,'Model - Preopening &amp; Fees'!$B29)</f>
        <v>0</v>
      </c>
      <c r="X29" s="115">
        <f>SUMIFS('Invoices - Preopening'!$I$20:$I$299,'Invoices - Preopening'!$H$20:$H$299,"&gt;="&amp;X$6,'Invoices - Preopening'!$H$20:$H$299,"&lt;="&amp;X$7,'Invoices - Preopening'!$C$20:$C$299,'Model - Preopening &amp; Fees'!$B29)</f>
        <v>0</v>
      </c>
      <c r="Y29" s="115">
        <f>SUMIFS('Invoices - Preopening'!$I$20:$I$299,'Invoices - Preopening'!$H$20:$H$299,"&gt;="&amp;Y$6,'Invoices - Preopening'!$H$20:$H$299,"&lt;="&amp;Y$7,'Invoices - Preopening'!$C$20:$C$299,'Model - Preopening &amp; Fees'!$B29)</f>
        <v>0</v>
      </c>
      <c r="Z29" s="115">
        <f>SUMIFS('Invoices - Preopening'!$I$20:$I$299,'Invoices - Preopening'!$H$20:$H$299,"&gt;="&amp;Z$6,'Invoices - Preopening'!$H$20:$H$299,"&lt;="&amp;Z$7,'Invoices - Preopening'!$C$20:$C$299,'Model - Preopening &amp; Fees'!$B29)</f>
        <v>0</v>
      </c>
      <c r="AA29" s="115">
        <f>SUMIFS('Invoices - Preopening'!$I$20:$I$299,'Invoices - Preopening'!$H$20:$H$299,"&gt;="&amp;AA$6,'Invoices - Preopening'!$H$20:$H$299,"&lt;="&amp;AA$7,'Invoices - Preopening'!$C$20:$C$299,'Model - Preopening &amp; Fees'!$B29)</f>
        <v>0</v>
      </c>
      <c r="AB29" s="115">
        <f>SUMIFS('Invoices - Preopening'!$I$20:$I$299,'Invoices - Preopening'!$H$20:$H$299,"&gt;="&amp;AB$6,'Invoices - Preopening'!$H$20:$H$299,"&lt;="&amp;AB$7,'Invoices - Preopening'!$C$20:$C$299,'Model - Preopening &amp; Fees'!$B29)</f>
        <v>0</v>
      </c>
      <c r="AC29" s="115">
        <f>SUMIFS('Invoices - Preopening'!$I$20:$I$299,'Invoices - Preopening'!$H$20:$H$299,"&gt;="&amp;AC$6,'Invoices - Preopening'!$H$20:$H$299,"&lt;="&amp;AC$7,'Invoices - Preopening'!$C$20:$C$299,'Model - Preopening &amp; Fees'!$B29)</f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2300</v>
      </c>
      <c r="AL29" s="9">
        <v>4400</v>
      </c>
      <c r="AM29" s="9">
        <v>4500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T29" s="24">
        <f t="shared" ref="AT29:BD30" si="23">-SUMIFS($L29:$AR29,$L$5:$AR$5,AT$5)</f>
        <v>0</v>
      </c>
      <c r="AU29" s="24">
        <f t="shared" si="23"/>
        <v>0</v>
      </c>
      <c r="AV29" s="24">
        <f t="shared" si="23"/>
        <v>0</v>
      </c>
      <c r="AW29" s="24">
        <f t="shared" si="23"/>
        <v>0</v>
      </c>
      <c r="AX29" s="24">
        <f t="shared" si="23"/>
        <v>0</v>
      </c>
      <c r="AY29" s="1">
        <f t="shared" si="23"/>
        <v>0</v>
      </c>
      <c r="AZ29" s="1">
        <f t="shared" si="23"/>
        <v>0</v>
      </c>
      <c r="BA29" s="1">
        <f t="shared" si="23"/>
        <v>0</v>
      </c>
      <c r="BB29" s="1">
        <f t="shared" si="23"/>
        <v>-6700</v>
      </c>
      <c r="BC29" s="1">
        <f t="shared" si="23"/>
        <v>-4500</v>
      </c>
      <c r="BD29" s="1">
        <f t="shared" si="23"/>
        <v>0</v>
      </c>
      <c r="BF29" s="1">
        <f t="shared" ref="BF29:BF30" si="24">SUM(AT29:BD29)</f>
        <v>-11200</v>
      </c>
    </row>
    <row r="30" spans="1:58" x14ac:dyDescent="0.25">
      <c r="A30">
        <v>1</v>
      </c>
      <c r="B30" s="21" t="s">
        <v>240</v>
      </c>
      <c r="C30" s="21"/>
      <c r="D30" s="2" t="s">
        <v>119</v>
      </c>
      <c r="E30" s="2" t="s">
        <v>126</v>
      </c>
      <c r="F30" s="9">
        <v>1600</v>
      </c>
      <c r="G30" s="59">
        <f>SUMIFS($L30:$AR30,$L$7:$AR$7,"&lt;="&amp;$J$4)</f>
        <v>0</v>
      </c>
      <c r="H30" s="59">
        <f t="shared" si="21"/>
        <v>800</v>
      </c>
      <c r="J30" s="1">
        <f t="shared" si="22"/>
        <v>800</v>
      </c>
      <c r="L30" s="115">
        <f>SUMIFS('Invoices - Preopening'!$I$20:$I$299,'Invoices - Preopening'!$H$20:$H$299,"&gt;="&amp;L$6,'Invoices - Preopening'!$H$20:$H$299,"&lt;="&amp;L$7,'Invoices - Preopening'!$C$20:$C$299,'Model - Preopening &amp; Fees'!$B30)</f>
        <v>0</v>
      </c>
      <c r="M30" s="115">
        <f>SUMIFS('Invoices - Preopening'!$I$20:$I$299,'Invoices - Preopening'!$H$20:$H$299,"&gt;="&amp;M$6,'Invoices - Preopening'!$H$20:$H$299,"&lt;="&amp;M$7,'Invoices - Preopening'!$C$20:$C$299,'Model - Preopening &amp; Fees'!$B30)</f>
        <v>0</v>
      </c>
      <c r="N30" s="115">
        <f>SUMIFS('Invoices - Preopening'!$I$20:$I$299,'Invoices - Preopening'!$H$20:$H$299,"&gt;="&amp;N$6,'Invoices - Preopening'!$H$20:$H$299,"&lt;="&amp;N$7,'Invoices - Preopening'!$C$20:$C$299,'Model - Preopening &amp; Fees'!$B30)</f>
        <v>0</v>
      </c>
      <c r="O30" s="115">
        <f>SUMIFS('Invoices - Preopening'!$I$20:$I$299,'Invoices - Preopening'!$H$20:$H$299,"&gt;="&amp;O$6,'Invoices - Preopening'!$H$20:$H$299,"&lt;="&amp;O$7,'Invoices - Preopening'!$C$20:$C$299,'Model - Preopening &amp; Fees'!$B30)</f>
        <v>0</v>
      </c>
      <c r="P30" s="115">
        <f>SUMIFS('Invoices - Preopening'!$I$20:$I$299,'Invoices - Preopening'!$H$20:$H$299,"&gt;="&amp;P$6,'Invoices - Preopening'!$H$20:$H$299,"&lt;="&amp;P$7,'Invoices - Preopening'!$C$20:$C$299,'Model - Preopening &amp; Fees'!$B30)</f>
        <v>0</v>
      </c>
      <c r="Q30" s="115">
        <f>SUMIFS('Invoices - Preopening'!$I$20:$I$299,'Invoices - Preopening'!$H$20:$H$299,"&gt;="&amp;Q$6,'Invoices - Preopening'!$H$20:$H$299,"&lt;="&amp;Q$7,'Invoices - Preopening'!$C$20:$C$299,'Model - Preopening &amp; Fees'!$B30)</f>
        <v>0</v>
      </c>
      <c r="R30" s="115">
        <f>SUMIFS('Invoices - Preopening'!$I$20:$I$299,'Invoices - Preopening'!$H$20:$H$299,"&gt;="&amp;R$6,'Invoices - Preopening'!$H$20:$H$299,"&lt;="&amp;R$7,'Invoices - Preopening'!$C$20:$C$299,'Model - Preopening &amp; Fees'!$B30)</f>
        <v>0</v>
      </c>
      <c r="S30" s="115">
        <f>SUMIFS('Invoices - Preopening'!$I$20:$I$299,'Invoices - Preopening'!$H$20:$H$299,"&gt;="&amp;S$6,'Invoices - Preopening'!$H$20:$H$299,"&lt;="&amp;S$7,'Invoices - Preopening'!$C$20:$C$299,'Model - Preopening &amp; Fees'!$B30)</f>
        <v>0</v>
      </c>
      <c r="T30" s="115">
        <f>SUMIFS('Invoices - Preopening'!$I$20:$I$299,'Invoices - Preopening'!$H$20:$H$299,"&gt;="&amp;T$6,'Invoices - Preopening'!$H$20:$H$299,"&lt;="&amp;T$7,'Invoices - Preopening'!$C$20:$C$299,'Model - Preopening &amp; Fees'!$B30)</f>
        <v>0</v>
      </c>
      <c r="U30" s="115">
        <f>SUMIFS('Invoices - Preopening'!$I$20:$I$299,'Invoices - Preopening'!$H$20:$H$299,"&gt;="&amp;U$6,'Invoices - Preopening'!$H$20:$H$299,"&lt;="&amp;U$7,'Invoices - Preopening'!$C$20:$C$299,'Model - Preopening &amp; Fees'!$B30)</f>
        <v>0</v>
      </c>
      <c r="V30" s="115">
        <f>SUMIFS('Invoices - Preopening'!$I$20:$I$299,'Invoices - Preopening'!$H$20:$H$299,"&gt;="&amp;V$6,'Invoices - Preopening'!$H$20:$H$299,"&lt;="&amp;V$7,'Invoices - Preopening'!$C$20:$C$299,'Model - Preopening &amp; Fees'!$B30)</f>
        <v>0</v>
      </c>
      <c r="W30" s="115">
        <f>SUMIFS('Invoices - Preopening'!$I$20:$I$299,'Invoices - Preopening'!$H$20:$H$299,"&gt;="&amp;W$6,'Invoices - Preopening'!$H$20:$H$299,"&lt;="&amp;W$7,'Invoices - Preopening'!$C$20:$C$299,'Model - Preopening &amp; Fees'!$B30)</f>
        <v>0</v>
      </c>
      <c r="X30" s="115">
        <f>SUMIFS('Invoices - Preopening'!$I$20:$I$299,'Invoices - Preopening'!$H$20:$H$299,"&gt;="&amp;X$6,'Invoices - Preopening'!$H$20:$H$299,"&lt;="&amp;X$7,'Invoices - Preopening'!$C$20:$C$299,'Model - Preopening &amp; Fees'!$B30)</f>
        <v>0</v>
      </c>
      <c r="Y30" s="115">
        <f>SUMIFS('Invoices - Preopening'!$I$20:$I$299,'Invoices - Preopening'!$H$20:$H$299,"&gt;="&amp;Y$6,'Invoices - Preopening'!$H$20:$H$299,"&lt;="&amp;Y$7,'Invoices - Preopening'!$C$20:$C$299,'Model - Preopening &amp; Fees'!$B30)</f>
        <v>0</v>
      </c>
      <c r="Z30" s="115">
        <f>SUMIFS('Invoices - Preopening'!$I$20:$I$299,'Invoices - Preopening'!$H$20:$H$299,"&gt;="&amp;Z$6,'Invoices - Preopening'!$H$20:$H$299,"&lt;="&amp;Z$7,'Invoices - Preopening'!$C$20:$C$299,'Model - Preopening &amp; Fees'!$B30)</f>
        <v>0</v>
      </c>
      <c r="AA30" s="115">
        <f>SUMIFS('Invoices - Preopening'!$I$20:$I$299,'Invoices - Preopening'!$H$20:$H$299,"&gt;="&amp;AA$6,'Invoices - Preopening'!$H$20:$H$299,"&lt;="&amp;AA$7,'Invoices - Preopening'!$C$20:$C$299,'Model - Preopening &amp; Fees'!$B30)</f>
        <v>0</v>
      </c>
      <c r="AB30" s="115">
        <f>SUMIFS('Invoices - Preopening'!$I$20:$I$299,'Invoices - Preopening'!$H$20:$H$299,"&gt;="&amp;AB$6,'Invoices - Preopening'!$H$20:$H$299,"&lt;="&amp;AB$7,'Invoices - Preopening'!$C$20:$C$299,'Model - Preopening &amp; Fees'!$B30)</f>
        <v>0</v>
      </c>
      <c r="AC30" s="115">
        <f>SUMIFS('Invoices - Preopening'!$I$20:$I$299,'Invoices - Preopening'!$H$20:$H$299,"&gt;="&amp;AC$6,'Invoices - Preopening'!$H$20:$H$299,"&lt;="&amp;AC$7,'Invoices - Preopening'!$C$20:$C$299,'Model - Preopening &amp; Fees'!$B30)</f>
        <v>0</v>
      </c>
      <c r="AD30" s="9">
        <v>0</v>
      </c>
      <c r="AE30" s="9">
        <v>0</v>
      </c>
      <c r="AF30" s="9">
        <v>0</v>
      </c>
      <c r="AG30" s="9">
        <v>200</v>
      </c>
      <c r="AH30" s="9">
        <v>200</v>
      </c>
      <c r="AI30" s="9">
        <v>200</v>
      </c>
      <c r="AJ30" s="9">
        <v>200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T30" s="24">
        <f t="shared" si="23"/>
        <v>0</v>
      </c>
      <c r="AU30" s="24">
        <f t="shared" si="23"/>
        <v>0</v>
      </c>
      <c r="AV30" s="24">
        <f t="shared" si="23"/>
        <v>0</v>
      </c>
      <c r="AW30" s="24">
        <f t="shared" si="23"/>
        <v>0</v>
      </c>
      <c r="AX30" s="24">
        <f t="shared" si="23"/>
        <v>0</v>
      </c>
      <c r="AY30" s="1">
        <f t="shared" si="23"/>
        <v>0</v>
      </c>
      <c r="AZ30" s="1">
        <f t="shared" si="23"/>
        <v>0</v>
      </c>
      <c r="BA30" s="1">
        <f t="shared" si="23"/>
        <v>-600</v>
      </c>
      <c r="BB30" s="1">
        <f t="shared" si="23"/>
        <v>-200</v>
      </c>
      <c r="BC30" s="1">
        <f t="shared" si="23"/>
        <v>0</v>
      </c>
      <c r="BD30" s="1">
        <f t="shared" si="23"/>
        <v>0</v>
      </c>
      <c r="BF30" s="1">
        <f t="shared" si="24"/>
        <v>-800</v>
      </c>
    </row>
    <row r="31" spans="1:58" x14ac:dyDescent="0.25">
      <c r="B31" s="21"/>
      <c r="C31" s="21"/>
      <c r="D31" s="2"/>
      <c r="E31" s="2"/>
      <c r="F31" s="9"/>
      <c r="G31" s="59"/>
      <c r="H31" s="59"/>
      <c r="J31" s="1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T31" s="24"/>
      <c r="AU31" s="24"/>
      <c r="AV31" s="24"/>
      <c r="AW31" s="24"/>
      <c r="AX31" s="24"/>
      <c r="AY31" s="1"/>
      <c r="AZ31" s="1"/>
      <c r="BA31" s="1"/>
      <c r="BB31" s="1"/>
      <c r="BC31" s="1"/>
      <c r="BD31" s="1"/>
      <c r="BF31" s="1"/>
    </row>
    <row r="32" spans="1:58" x14ac:dyDescent="0.25">
      <c r="B32" s="141" t="s">
        <v>132</v>
      </c>
      <c r="C32" s="141"/>
      <c r="D32" s="142"/>
      <c r="E32" s="142"/>
      <c r="F32" s="141"/>
      <c r="G32" s="141"/>
      <c r="H32" s="141"/>
      <c r="J32" s="110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F32" s="141"/>
    </row>
    <row r="33" spans="1:58" x14ac:dyDescent="0.25">
      <c r="A33">
        <v>1</v>
      </c>
      <c r="B33" s="21" t="s">
        <v>241</v>
      </c>
      <c r="C33" s="21"/>
      <c r="D33" s="2" t="s">
        <v>119</v>
      </c>
      <c r="E33" s="2" t="s">
        <v>126</v>
      </c>
      <c r="F33" s="9">
        <v>7832</v>
      </c>
      <c r="G33" s="59">
        <f t="shared" ref="G33" si="25">SUMIFS($L33:$AR33,$L$7:$AR$7,"&lt;="&amp;$J$4)</f>
        <v>0</v>
      </c>
      <c r="H33" s="59">
        <f t="shared" ref="H33:H37" si="26">J33-G33</f>
        <v>5548</v>
      </c>
      <c r="J33" s="1">
        <f>SUM(L33:AR33)</f>
        <v>5548</v>
      </c>
      <c r="L33" s="115">
        <f>SUMIFS('Invoices - Preopening'!$I$20:$I$299,'Invoices - Preopening'!$H$20:$H$299,"&gt;="&amp;L$6,'Invoices - Preopening'!$H$20:$H$299,"&lt;="&amp;L$7,'Invoices - Preopening'!$C$20:$C$299,'Model - Preopening &amp; Fees'!$B33)</f>
        <v>0</v>
      </c>
      <c r="M33" s="115">
        <f>SUMIFS('Invoices - Preopening'!$I$20:$I$299,'Invoices - Preopening'!$H$20:$H$299,"&gt;="&amp;M$6,'Invoices - Preopening'!$H$20:$H$299,"&lt;="&amp;M$7,'Invoices - Preopening'!$C$20:$C$299,'Model - Preopening &amp; Fees'!$B33)</f>
        <v>0</v>
      </c>
      <c r="N33" s="115">
        <f>SUMIFS('Invoices - Preopening'!$I$20:$I$299,'Invoices - Preopening'!$H$20:$H$299,"&gt;="&amp;N$6,'Invoices - Preopening'!$H$20:$H$299,"&lt;="&amp;N$7,'Invoices - Preopening'!$C$20:$C$299,'Model - Preopening &amp; Fees'!$B33)</f>
        <v>0</v>
      </c>
      <c r="O33" s="115">
        <f>SUMIFS('Invoices - Preopening'!$I$20:$I$299,'Invoices - Preopening'!$H$20:$H$299,"&gt;="&amp;O$6,'Invoices - Preopening'!$H$20:$H$299,"&lt;="&amp;O$7,'Invoices - Preopening'!$C$20:$C$299,'Model - Preopening &amp; Fees'!$B33)</f>
        <v>0</v>
      </c>
      <c r="P33" s="115">
        <f>SUMIFS('Invoices - Preopening'!$I$20:$I$299,'Invoices - Preopening'!$H$20:$H$299,"&gt;="&amp;P$6,'Invoices - Preopening'!$H$20:$H$299,"&lt;="&amp;P$7,'Invoices - Preopening'!$C$20:$C$299,'Model - Preopening &amp; Fees'!$B33)</f>
        <v>0</v>
      </c>
      <c r="Q33" s="115">
        <f>SUMIFS('Invoices - Preopening'!$I$20:$I$299,'Invoices - Preopening'!$H$20:$H$299,"&gt;="&amp;Q$6,'Invoices - Preopening'!$H$20:$H$299,"&lt;="&amp;Q$7,'Invoices - Preopening'!$C$20:$C$299,'Model - Preopening &amp; Fees'!$B33)</f>
        <v>0</v>
      </c>
      <c r="R33" s="115">
        <f>SUMIFS('Invoices - Preopening'!$I$20:$I$299,'Invoices - Preopening'!$H$20:$H$299,"&gt;="&amp;R$6,'Invoices - Preopening'!$H$20:$H$299,"&lt;="&amp;R$7,'Invoices - Preopening'!$C$20:$C$299,'Model - Preopening &amp; Fees'!$B33)</f>
        <v>0</v>
      </c>
      <c r="S33" s="115">
        <f>SUMIFS('Invoices - Preopening'!$I$20:$I$299,'Invoices - Preopening'!$H$20:$H$299,"&gt;="&amp;S$6,'Invoices - Preopening'!$H$20:$H$299,"&lt;="&amp;S$7,'Invoices - Preopening'!$C$20:$C$299,'Model - Preopening &amp; Fees'!$B33)</f>
        <v>0</v>
      </c>
      <c r="T33" s="115">
        <f>SUMIFS('Invoices - Preopening'!$I$20:$I$299,'Invoices - Preopening'!$H$20:$H$299,"&gt;="&amp;T$6,'Invoices - Preopening'!$H$20:$H$299,"&lt;="&amp;T$7,'Invoices - Preopening'!$C$20:$C$299,'Model - Preopening &amp; Fees'!$B33)</f>
        <v>0</v>
      </c>
      <c r="U33" s="115">
        <f>SUMIFS('Invoices - Preopening'!$I$20:$I$299,'Invoices - Preopening'!$H$20:$H$299,"&gt;="&amp;U$6,'Invoices - Preopening'!$H$20:$H$299,"&lt;="&amp;U$7,'Invoices - Preopening'!$C$20:$C$299,'Model - Preopening &amp; Fees'!$B33)</f>
        <v>0</v>
      </c>
      <c r="V33" s="115">
        <f>SUMIFS('Invoices - Preopening'!$I$20:$I$299,'Invoices - Preopening'!$H$20:$H$299,"&gt;="&amp;V$6,'Invoices - Preopening'!$H$20:$H$299,"&lt;="&amp;V$7,'Invoices - Preopening'!$C$20:$C$299,'Model - Preopening &amp; Fees'!$B33)</f>
        <v>0</v>
      </c>
      <c r="W33" s="115">
        <f>SUMIFS('Invoices - Preopening'!$I$20:$I$299,'Invoices - Preopening'!$H$20:$H$299,"&gt;="&amp;W$6,'Invoices - Preopening'!$H$20:$H$299,"&lt;="&amp;W$7,'Invoices - Preopening'!$C$20:$C$299,'Model - Preopening &amp; Fees'!$B33)</f>
        <v>0</v>
      </c>
      <c r="X33" s="115">
        <f>SUMIFS('Invoices - Preopening'!$I$20:$I$299,'Invoices - Preopening'!$H$20:$H$299,"&gt;="&amp;X$6,'Invoices - Preopening'!$H$20:$H$299,"&lt;="&amp;X$7,'Invoices - Preopening'!$C$20:$C$299,'Model - Preopening &amp; Fees'!$B33)</f>
        <v>0</v>
      </c>
      <c r="Y33" s="115">
        <f>SUMIFS('Invoices - Preopening'!$I$20:$I$299,'Invoices - Preopening'!$H$20:$H$299,"&gt;="&amp;Y$6,'Invoices - Preopening'!$H$20:$H$299,"&lt;="&amp;Y$7,'Invoices - Preopening'!$C$20:$C$299,'Model - Preopening &amp; Fees'!$B33)</f>
        <v>0</v>
      </c>
      <c r="Z33" s="115">
        <f>SUMIFS('Invoices - Preopening'!$I$20:$I$299,'Invoices - Preopening'!$H$20:$H$299,"&gt;="&amp;Z$6,'Invoices - Preopening'!$H$20:$H$299,"&lt;="&amp;Z$7,'Invoices - Preopening'!$C$20:$C$299,'Model - Preopening &amp; Fees'!$B33)</f>
        <v>0</v>
      </c>
      <c r="AA33" s="115">
        <f>SUMIFS('Invoices - Preopening'!$I$20:$I$299,'Invoices - Preopening'!$H$20:$H$299,"&gt;="&amp;AA$6,'Invoices - Preopening'!$H$20:$H$299,"&lt;="&amp;AA$7,'Invoices - Preopening'!$C$20:$C$299,'Model - Preopening &amp; Fees'!$B33)</f>
        <v>0</v>
      </c>
      <c r="AB33" s="115">
        <f>SUMIFS('Invoices - Preopening'!$I$20:$I$299,'Invoices - Preopening'!$H$20:$H$299,"&gt;="&amp;AB$6,'Invoices - Preopening'!$H$20:$H$299,"&lt;="&amp;AB$7,'Invoices - Preopening'!$C$20:$C$299,'Model - Preopening &amp; Fees'!$B33)</f>
        <v>0</v>
      </c>
      <c r="AC33" s="115">
        <f>SUMIFS('Invoices - Preopening'!$I$20:$I$299,'Invoices - Preopening'!$H$20:$H$299,"&gt;="&amp;AC$6,'Invoices - Preopening'!$H$20:$H$299,"&lt;="&amp;AC$7,'Invoices - Preopening'!$C$20:$C$299,'Model - Preopening &amp; Fees'!$B33)</f>
        <v>0</v>
      </c>
      <c r="AD33" s="9">
        <v>0</v>
      </c>
      <c r="AE33" s="9">
        <v>0</v>
      </c>
      <c r="AF33" s="9">
        <v>460</v>
      </c>
      <c r="AG33" s="9">
        <v>460</v>
      </c>
      <c r="AH33" s="9">
        <v>1157</v>
      </c>
      <c r="AI33" s="9">
        <v>1157</v>
      </c>
      <c r="AJ33" s="9">
        <v>1157</v>
      </c>
      <c r="AK33" s="9">
        <v>1157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T33" s="24">
        <f t="shared" ref="AT33:BD37" si="27">-SUMIFS($L33:$AR33,$L$5:$AR$5,AT$5)</f>
        <v>0</v>
      </c>
      <c r="AU33" s="24">
        <f t="shared" si="27"/>
        <v>0</v>
      </c>
      <c r="AV33" s="24">
        <f t="shared" si="27"/>
        <v>0</v>
      </c>
      <c r="AW33" s="24">
        <f t="shared" si="27"/>
        <v>0</v>
      </c>
      <c r="AX33" s="24">
        <f t="shared" si="27"/>
        <v>0</v>
      </c>
      <c r="AY33" s="1">
        <f t="shared" si="27"/>
        <v>0</v>
      </c>
      <c r="AZ33" s="1">
        <f t="shared" si="27"/>
        <v>-460</v>
      </c>
      <c r="BA33" s="1">
        <f t="shared" si="27"/>
        <v>-2774</v>
      </c>
      <c r="BB33" s="1">
        <f t="shared" si="27"/>
        <v>-2314</v>
      </c>
      <c r="BC33" s="1">
        <f t="shared" si="27"/>
        <v>0</v>
      </c>
      <c r="BD33" s="1">
        <f t="shared" si="27"/>
        <v>0</v>
      </c>
      <c r="BF33" s="1">
        <f t="shared" ref="BF33:BF34" si="28">SUM(AT33:BD33)</f>
        <v>-5548</v>
      </c>
    </row>
    <row r="34" spans="1:58" x14ac:dyDescent="0.25">
      <c r="A34">
        <v>1</v>
      </c>
      <c r="B34" s="21" t="s">
        <v>133</v>
      </c>
      <c r="C34" s="21"/>
      <c r="D34" s="2" t="s">
        <v>119</v>
      </c>
      <c r="E34" s="2" t="s">
        <v>126</v>
      </c>
      <c r="F34" s="9">
        <v>21056</v>
      </c>
      <c r="G34" s="59">
        <f>SUMIFS($L34:$AR34,$L$7:$AR$7,"&lt;="&amp;$J$4)</f>
        <v>0</v>
      </c>
      <c r="H34" s="59">
        <f t="shared" si="26"/>
        <v>10189</v>
      </c>
      <c r="J34" s="1">
        <f t="shared" ref="J34" si="29">SUM(L34:AR34)</f>
        <v>10189</v>
      </c>
      <c r="L34" s="115">
        <f>SUMIFS('Invoices - Preopening'!$I$20:$I$299,'Invoices - Preopening'!$H$20:$H$299,"&gt;="&amp;L$6,'Invoices - Preopening'!$H$20:$H$299,"&lt;="&amp;L$7,'Invoices - Preopening'!$C$20:$C$299,'Model - Preopening &amp; Fees'!$B34)</f>
        <v>0</v>
      </c>
      <c r="M34" s="115">
        <f>SUMIFS('Invoices - Preopening'!$I$20:$I$299,'Invoices - Preopening'!$H$20:$H$299,"&gt;="&amp;M$6,'Invoices - Preopening'!$H$20:$H$299,"&lt;="&amp;M$7,'Invoices - Preopening'!$C$20:$C$299,'Model - Preopening &amp; Fees'!$B34)</f>
        <v>0</v>
      </c>
      <c r="N34" s="115">
        <f>SUMIFS('Invoices - Preopening'!$I$20:$I$299,'Invoices - Preopening'!$H$20:$H$299,"&gt;="&amp;N$6,'Invoices - Preopening'!$H$20:$H$299,"&lt;="&amp;N$7,'Invoices - Preopening'!$C$20:$C$299,'Model - Preopening &amp; Fees'!$B34)</f>
        <v>0</v>
      </c>
      <c r="O34" s="115">
        <f>SUMIFS('Invoices - Preopening'!$I$20:$I$299,'Invoices - Preopening'!$H$20:$H$299,"&gt;="&amp;O$6,'Invoices - Preopening'!$H$20:$H$299,"&lt;="&amp;O$7,'Invoices - Preopening'!$C$20:$C$299,'Model - Preopening &amp; Fees'!$B34)</f>
        <v>0</v>
      </c>
      <c r="P34" s="115">
        <f>SUMIFS('Invoices - Preopening'!$I$20:$I$299,'Invoices - Preopening'!$H$20:$H$299,"&gt;="&amp;P$6,'Invoices - Preopening'!$H$20:$H$299,"&lt;="&amp;P$7,'Invoices - Preopening'!$C$20:$C$299,'Model - Preopening &amp; Fees'!$B34)</f>
        <v>0</v>
      </c>
      <c r="Q34" s="115">
        <f>SUMIFS('Invoices - Preopening'!$I$20:$I$299,'Invoices - Preopening'!$H$20:$H$299,"&gt;="&amp;Q$6,'Invoices - Preopening'!$H$20:$H$299,"&lt;="&amp;Q$7,'Invoices - Preopening'!$C$20:$C$299,'Model - Preopening &amp; Fees'!$B34)</f>
        <v>0</v>
      </c>
      <c r="R34" s="115">
        <f>SUMIFS('Invoices - Preopening'!$I$20:$I$299,'Invoices - Preopening'!$H$20:$H$299,"&gt;="&amp;R$6,'Invoices - Preopening'!$H$20:$H$299,"&lt;="&amp;R$7,'Invoices - Preopening'!$C$20:$C$299,'Model - Preopening &amp; Fees'!$B34)</f>
        <v>0</v>
      </c>
      <c r="S34" s="115">
        <f>SUMIFS('Invoices - Preopening'!$I$20:$I$299,'Invoices - Preopening'!$H$20:$H$299,"&gt;="&amp;S$6,'Invoices - Preopening'!$H$20:$H$299,"&lt;="&amp;S$7,'Invoices - Preopening'!$C$20:$C$299,'Model - Preopening &amp; Fees'!$B34)</f>
        <v>0</v>
      </c>
      <c r="T34" s="115">
        <f>SUMIFS('Invoices - Preopening'!$I$20:$I$299,'Invoices - Preopening'!$H$20:$H$299,"&gt;="&amp;T$6,'Invoices - Preopening'!$H$20:$H$299,"&lt;="&amp;T$7,'Invoices - Preopening'!$C$20:$C$299,'Model - Preopening &amp; Fees'!$B34)</f>
        <v>0</v>
      </c>
      <c r="U34" s="115">
        <f>SUMIFS('Invoices - Preopening'!$I$20:$I$299,'Invoices - Preopening'!$H$20:$H$299,"&gt;="&amp;U$6,'Invoices - Preopening'!$H$20:$H$299,"&lt;="&amp;U$7,'Invoices - Preopening'!$C$20:$C$299,'Model - Preopening &amp; Fees'!$B34)</f>
        <v>0</v>
      </c>
      <c r="V34" s="115">
        <f>SUMIFS('Invoices - Preopening'!$I$20:$I$299,'Invoices - Preopening'!$H$20:$H$299,"&gt;="&amp;V$6,'Invoices - Preopening'!$H$20:$H$299,"&lt;="&amp;V$7,'Invoices - Preopening'!$C$20:$C$299,'Model - Preopening &amp; Fees'!$B34)</f>
        <v>0</v>
      </c>
      <c r="W34" s="115">
        <f>SUMIFS('Invoices - Preopening'!$I$20:$I$299,'Invoices - Preopening'!$H$20:$H$299,"&gt;="&amp;W$6,'Invoices - Preopening'!$H$20:$H$299,"&lt;="&amp;W$7,'Invoices - Preopening'!$C$20:$C$299,'Model - Preopening &amp; Fees'!$B34)</f>
        <v>0</v>
      </c>
      <c r="X34" s="115">
        <f>SUMIFS('Invoices - Preopening'!$I$20:$I$299,'Invoices - Preopening'!$H$20:$H$299,"&gt;="&amp;X$6,'Invoices - Preopening'!$H$20:$H$299,"&lt;="&amp;X$7,'Invoices - Preopening'!$C$20:$C$299,'Model - Preopening &amp; Fees'!$B34)</f>
        <v>0</v>
      </c>
      <c r="Y34" s="115">
        <f>SUMIFS('Invoices - Preopening'!$I$20:$I$299,'Invoices - Preopening'!$H$20:$H$299,"&gt;="&amp;Y$6,'Invoices - Preopening'!$H$20:$H$299,"&lt;="&amp;Y$7,'Invoices - Preopening'!$C$20:$C$299,'Model - Preopening &amp; Fees'!$B34)</f>
        <v>0</v>
      </c>
      <c r="Z34" s="115">
        <f>SUMIFS('Invoices - Preopening'!$I$20:$I$299,'Invoices - Preopening'!$H$20:$H$299,"&gt;="&amp;Z$6,'Invoices - Preopening'!$H$20:$H$299,"&lt;="&amp;Z$7,'Invoices - Preopening'!$C$20:$C$299,'Model - Preopening &amp; Fees'!$B34)</f>
        <v>0</v>
      </c>
      <c r="AA34" s="115">
        <f>SUMIFS('Invoices - Preopening'!$I$20:$I$299,'Invoices - Preopening'!$H$20:$H$299,"&gt;="&amp;AA$6,'Invoices - Preopening'!$H$20:$H$299,"&lt;="&amp;AA$7,'Invoices - Preopening'!$C$20:$C$299,'Model - Preopening &amp; Fees'!$B34)</f>
        <v>0</v>
      </c>
      <c r="AB34" s="115">
        <f>SUMIFS('Invoices - Preopening'!$I$20:$I$299,'Invoices - Preopening'!$H$20:$H$299,"&gt;="&amp;AB$6,'Invoices - Preopening'!$H$20:$H$299,"&lt;="&amp;AB$7,'Invoices - Preopening'!$C$20:$C$299,'Model - Preopening &amp; Fees'!$B34)</f>
        <v>0</v>
      </c>
      <c r="AC34" s="115">
        <f>SUMIFS('Invoices - Preopening'!$I$20:$I$299,'Invoices - Preopening'!$H$20:$H$299,"&gt;="&amp;AC$6,'Invoices - Preopening'!$H$20:$H$299,"&lt;="&amp;AC$7,'Invoices - Preopening'!$C$20:$C$299,'Model - Preopening &amp; Fees'!$B34)</f>
        <v>0</v>
      </c>
      <c r="AD34" s="9">
        <v>0</v>
      </c>
      <c r="AE34" s="9">
        <v>0</v>
      </c>
      <c r="AF34" s="9">
        <v>0</v>
      </c>
      <c r="AG34" s="9">
        <v>883</v>
      </c>
      <c r="AH34" s="9">
        <v>883</v>
      </c>
      <c r="AI34" s="9">
        <v>2038</v>
      </c>
      <c r="AJ34" s="9">
        <v>2038</v>
      </c>
      <c r="AK34" s="9">
        <v>4347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T34" s="24">
        <f t="shared" si="27"/>
        <v>0</v>
      </c>
      <c r="AU34" s="24">
        <f t="shared" si="27"/>
        <v>0</v>
      </c>
      <c r="AV34" s="24">
        <f t="shared" si="27"/>
        <v>0</v>
      </c>
      <c r="AW34" s="24">
        <f t="shared" si="27"/>
        <v>0</v>
      </c>
      <c r="AX34" s="24">
        <f t="shared" si="27"/>
        <v>0</v>
      </c>
      <c r="AY34" s="1">
        <f t="shared" si="27"/>
        <v>0</v>
      </c>
      <c r="AZ34" s="1">
        <f t="shared" si="27"/>
        <v>0</v>
      </c>
      <c r="BA34" s="1">
        <f t="shared" si="27"/>
        <v>-3804</v>
      </c>
      <c r="BB34" s="1">
        <f t="shared" si="27"/>
        <v>-6385</v>
      </c>
      <c r="BC34" s="1">
        <f t="shared" si="27"/>
        <v>0</v>
      </c>
      <c r="BD34" s="1">
        <f t="shared" si="27"/>
        <v>0</v>
      </c>
      <c r="BF34" s="1">
        <f t="shared" si="28"/>
        <v>-10189</v>
      </c>
    </row>
    <row r="35" spans="1:58" x14ac:dyDescent="0.25">
      <c r="A35">
        <v>1</v>
      </c>
      <c r="B35" s="21" t="s">
        <v>134</v>
      </c>
      <c r="C35" s="21"/>
      <c r="D35" s="2" t="s">
        <v>119</v>
      </c>
      <c r="E35" s="2" t="s">
        <v>126</v>
      </c>
      <c r="F35" s="9">
        <f t="shared" ref="F35:F36" si="30">SUM(AF35:AM35)</f>
        <v>951</v>
      </c>
      <c r="G35" s="59">
        <f>SUMIFS($L35:$AR35,$L$7:$AR$7,"&lt;="&amp;$J$4)</f>
        <v>0</v>
      </c>
      <c r="H35" s="59">
        <f t="shared" si="26"/>
        <v>951</v>
      </c>
      <c r="J35" s="1">
        <f t="shared" ref="J35:J37" si="31">SUM(L35:AR35)</f>
        <v>951</v>
      </c>
      <c r="L35" s="115">
        <f>SUMIFS('Invoices - Preopening'!$I$20:$I$299,'Invoices - Preopening'!$H$20:$H$299,"&gt;="&amp;L$6,'Invoices - Preopening'!$H$20:$H$299,"&lt;="&amp;L$7,'Invoices - Preopening'!$C$20:$C$299,'Model - Preopening &amp; Fees'!$B35)</f>
        <v>0</v>
      </c>
      <c r="M35" s="115">
        <f>SUMIFS('Invoices - Preopening'!$I$20:$I$299,'Invoices - Preopening'!$H$20:$H$299,"&gt;="&amp;M$6,'Invoices - Preopening'!$H$20:$H$299,"&lt;="&amp;M$7,'Invoices - Preopening'!$C$20:$C$299,'Model - Preopening &amp; Fees'!$B35)</f>
        <v>0</v>
      </c>
      <c r="N35" s="115">
        <f>SUMIFS('Invoices - Preopening'!$I$20:$I$299,'Invoices - Preopening'!$H$20:$H$299,"&gt;="&amp;N$6,'Invoices - Preopening'!$H$20:$H$299,"&lt;="&amp;N$7,'Invoices - Preopening'!$C$20:$C$299,'Model - Preopening &amp; Fees'!$B35)</f>
        <v>0</v>
      </c>
      <c r="O35" s="115">
        <f>SUMIFS('Invoices - Preopening'!$I$20:$I$299,'Invoices - Preopening'!$H$20:$H$299,"&gt;="&amp;O$6,'Invoices - Preopening'!$H$20:$H$299,"&lt;="&amp;O$7,'Invoices - Preopening'!$C$20:$C$299,'Model - Preopening &amp; Fees'!$B35)</f>
        <v>0</v>
      </c>
      <c r="P35" s="115">
        <f>SUMIFS('Invoices - Preopening'!$I$20:$I$299,'Invoices - Preopening'!$H$20:$H$299,"&gt;="&amp;P$6,'Invoices - Preopening'!$H$20:$H$299,"&lt;="&amp;P$7,'Invoices - Preopening'!$C$20:$C$299,'Model - Preopening &amp; Fees'!$B35)</f>
        <v>0</v>
      </c>
      <c r="Q35" s="115">
        <f>SUMIFS('Invoices - Preopening'!$I$20:$I$299,'Invoices - Preopening'!$H$20:$H$299,"&gt;="&amp;Q$6,'Invoices - Preopening'!$H$20:$H$299,"&lt;="&amp;Q$7,'Invoices - Preopening'!$C$20:$C$299,'Model - Preopening &amp; Fees'!$B35)</f>
        <v>0</v>
      </c>
      <c r="R35" s="115">
        <f>SUMIFS('Invoices - Preopening'!$I$20:$I$299,'Invoices - Preopening'!$H$20:$H$299,"&gt;="&amp;R$6,'Invoices - Preopening'!$H$20:$H$299,"&lt;="&amp;R$7,'Invoices - Preopening'!$C$20:$C$299,'Model - Preopening &amp; Fees'!$B35)</f>
        <v>0</v>
      </c>
      <c r="S35" s="115">
        <f>SUMIFS('Invoices - Preopening'!$I$20:$I$299,'Invoices - Preopening'!$H$20:$H$299,"&gt;="&amp;S$6,'Invoices - Preopening'!$H$20:$H$299,"&lt;="&amp;S$7,'Invoices - Preopening'!$C$20:$C$299,'Model - Preopening &amp; Fees'!$B35)</f>
        <v>0</v>
      </c>
      <c r="T35" s="115">
        <f>SUMIFS('Invoices - Preopening'!$I$20:$I$299,'Invoices - Preopening'!$H$20:$H$299,"&gt;="&amp;T$6,'Invoices - Preopening'!$H$20:$H$299,"&lt;="&amp;T$7,'Invoices - Preopening'!$C$20:$C$299,'Model - Preopening &amp; Fees'!$B35)</f>
        <v>0</v>
      </c>
      <c r="U35" s="115">
        <f>SUMIFS('Invoices - Preopening'!$I$20:$I$299,'Invoices - Preopening'!$H$20:$H$299,"&gt;="&amp;U$6,'Invoices - Preopening'!$H$20:$H$299,"&lt;="&amp;U$7,'Invoices - Preopening'!$C$20:$C$299,'Model - Preopening &amp; Fees'!$B35)</f>
        <v>0</v>
      </c>
      <c r="V35" s="115">
        <f>SUMIFS('Invoices - Preopening'!$I$20:$I$299,'Invoices - Preopening'!$H$20:$H$299,"&gt;="&amp;V$6,'Invoices - Preopening'!$H$20:$H$299,"&lt;="&amp;V$7,'Invoices - Preopening'!$C$20:$C$299,'Model - Preopening &amp; Fees'!$B35)</f>
        <v>0</v>
      </c>
      <c r="W35" s="115">
        <f>SUMIFS('Invoices - Preopening'!$I$20:$I$299,'Invoices - Preopening'!$H$20:$H$299,"&gt;="&amp;W$6,'Invoices - Preopening'!$H$20:$H$299,"&lt;="&amp;W$7,'Invoices - Preopening'!$C$20:$C$299,'Model - Preopening &amp; Fees'!$B35)</f>
        <v>0</v>
      </c>
      <c r="X35" s="115">
        <f>SUMIFS('Invoices - Preopening'!$I$20:$I$299,'Invoices - Preopening'!$H$20:$H$299,"&gt;="&amp;X$6,'Invoices - Preopening'!$H$20:$H$299,"&lt;="&amp;X$7,'Invoices - Preopening'!$C$20:$C$299,'Model - Preopening &amp; Fees'!$B35)</f>
        <v>0</v>
      </c>
      <c r="Y35" s="115">
        <f>SUMIFS('Invoices - Preopening'!$I$20:$I$299,'Invoices - Preopening'!$H$20:$H$299,"&gt;="&amp;Y$6,'Invoices - Preopening'!$H$20:$H$299,"&lt;="&amp;Y$7,'Invoices - Preopening'!$C$20:$C$299,'Model - Preopening &amp; Fees'!$B35)</f>
        <v>0</v>
      </c>
      <c r="Z35" s="115">
        <f>SUMIFS('Invoices - Preopening'!$I$20:$I$299,'Invoices - Preopening'!$H$20:$H$299,"&gt;="&amp;Z$6,'Invoices - Preopening'!$H$20:$H$299,"&lt;="&amp;Z$7,'Invoices - Preopening'!$C$20:$C$299,'Model - Preopening &amp; Fees'!$B35)</f>
        <v>0</v>
      </c>
      <c r="AA35" s="115">
        <f>SUMIFS('Invoices - Preopening'!$I$20:$I$299,'Invoices - Preopening'!$H$20:$H$299,"&gt;="&amp;AA$6,'Invoices - Preopening'!$H$20:$H$299,"&lt;="&amp;AA$7,'Invoices - Preopening'!$C$20:$C$299,'Model - Preopening &amp; Fees'!$B35)</f>
        <v>0</v>
      </c>
      <c r="AB35" s="115">
        <f>SUMIFS('Invoices - Preopening'!$I$20:$I$299,'Invoices - Preopening'!$H$20:$H$299,"&gt;="&amp;AB$6,'Invoices - Preopening'!$H$20:$H$299,"&lt;="&amp;AB$7,'Invoices - Preopening'!$C$20:$C$299,'Model - Preopening &amp; Fees'!$B35)</f>
        <v>0</v>
      </c>
      <c r="AC35" s="115">
        <f>SUMIFS('Invoices - Preopening'!$I$20:$I$299,'Invoices - Preopening'!$H$20:$H$299,"&gt;="&amp;AC$6,'Invoices - Preopening'!$H$20:$H$299,"&lt;="&amp;AC$7,'Invoices - Preopening'!$C$20:$C$299,'Model - Preopening &amp; Fees'!$B35)</f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136</v>
      </c>
      <c r="AJ35" s="9">
        <v>272</v>
      </c>
      <c r="AK35" s="9">
        <v>543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T35" s="24">
        <f t="shared" si="27"/>
        <v>0</v>
      </c>
      <c r="AU35" s="24">
        <f t="shared" si="27"/>
        <v>0</v>
      </c>
      <c r="AV35" s="24">
        <f t="shared" si="27"/>
        <v>0</v>
      </c>
      <c r="AW35" s="24">
        <f t="shared" si="27"/>
        <v>0</v>
      </c>
      <c r="AX35" s="24">
        <f t="shared" si="27"/>
        <v>0</v>
      </c>
      <c r="AY35" s="1">
        <f t="shared" si="27"/>
        <v>0</v>
      </c>
      <c r="AZ35" s="1">
        <f t="shared" si="27"/>
        <v>0</v>
      </c>
      <c r="BA35" s="1">
        <f t="shared" si="27"/>
        <v>-136</v>
      </c>
      <c r="BB35" s="1">
        <f t="shared" si="27"/>
        <v>-815</v>
      </c>
      <c r="BC35" s="1">
        <f t="shared" si="27"/>
        <v>0</v>
      </c>
      <c r="BD35" s="1">
        <f t="shared" si="27"/>
        <v>0</v>
      </c>
      <c r="BF35" s="1">
        <f t="shared" ref="BF35:BF37" si="32">SUM(AT35:BD35)</f>
        <v>-951</v>
      </c>
    </row>
    <row r="36" spans="1:58" x14ac:dyDescent="0.25">
      <c r="A36">
        <v>1</v>
      </c>
      <c r="B36" s="21" t="s">
        <v>135</v>
      </c>
      <c r="C36" s="21"/>
      <c r="D36" s="2" t="s">
        <v>119</v>
      </c>
      <c r="E36" s="2" t="s">
        <v>126</v>
      </c>
      <c r="F36" s="9">
        <f t="shared" si="30"/>
        <v>2444</v>
      </c>
      <c r="G36" s="59">
        <f>SUMIFS($L36:$AR36,$L$7:$AR$7,"&lt;="&amp;$J$4)</f>
        <v>0</v>
      </c>
      <c r="H36" s="59">
        <f t="shared" si="26"/>
        <v>2444</v>
      </c>
      <c r="J36" s="1">
        <f t="shared" si="31"/>
        <v>2444</v>
      </c>
      <c r="L36" s="115">
        <f>SUMIFS('Invoices - Preopening'!$I$20:$I$299,'Invoices - Preopening'!$H$20:$H$299,"&gt;="&amp;L$6,'Invoices - Preopening'!$H$20:$H$299,"&lt;="&amp;L$7,'Invoices - Preopening'!$C$20:$C$299,'Model - Preopening &amp; Fees'!$B36)</f>
        <v>0</v>
      </c>
      <c r="M36" s="115">
        <f>SUMIFS('Invoices - Preopening'!$I$20:$I$299,'Invoices - Preopening'!$H$20:$H$299,"&gt;="&amp;M$6,'Invoices - Preopening'!$H$20:$H$299,"&lt;="&amp;M$7,'Invoices - Preopening'!$C$20:$C$299,'Model - Preopening &amp; Fees'!$B36)</f>
        <v>0</v>
      </c>
      <c r="N36" s="115">
        <f>SUMIFS('Invoices - Preopening'!$I$20:$I$299,'Invoices - Preopening'!$H$20:$H$299,"&gt;="&amp;N$6,'Invoices - Preopening'!$H$20:$H$299,"&lt;="&amp;N$7,'Invoices - Preopening'!$C$20:$C$299,'Model - Preopening &amp; Fees'!$B36)</f>
        <v>0</v>
      </c>
      <c r="O36" s="115">
        <f>SUMIFS('Invoices - Preopening'!$I$20:$I$299,'Invoices - Preopening'!$H$20:$H$299,"&gt;="&amp;O$6,'Invoices - Preopening'!$H$20:$H$299,"&lt;="&amp;O$7,'Invoices - Preopening'!$C$20:$C$299,'Model - Preopening &amp; Fees'!$B36)</f>
        <v>0</v>
      </c>
      <c r="P36" s="115">
        <f>SUMIFS('Invoices - Preopening'!$I$20:$I$299,'Invoices - Preopening'!$H$20:$H$299,"&gt;="&amp;P$6,'Invoices - Preopening'!$H$20:$H$299,"&lt;="&amp;P$7,'Invoices - Preopening'!$C$20:$C$299,'Model - Preopening &amp; Fees'!$B36)</f>
        <v>0</v>
      </c>
      <c r="Q36" s="115">
        <f>SUMIFS('Invoices - Preopening'!$I$20:$I$299,'Invoices - Preopening'!$H$20:$H$299,"&gt;="&amp;Q$6,'Invoices - Preopening'!$H$20:$H$299,"&lt;="&amp;Q$7,'Invoices - Preopening'!$C$20:$C$299,'Model - Preopening &amp; Fees'!$B36)</f>
        <v>0</v>
      </c>
      <c r="R36" s="115">
        <f>SUMIFS('Invoices - Preopening'!$I$20:$I$299,'Invoices - Preopening'!$H$20:$H$299,"&gt;="&amp;R$6,'Invoices - Preopening'!$H$20:$H$299,"&lt;="&amp;R$7,'Invoices - Preopening'!$C$20:$C$299,'Model - Preopening &amp; Fees'!$B36)</f>
        <v>0</v>
      </c>
      <c r="S36" s="115">
        <f>SUMIFS('Invoices - Preopening'!$I$20:$I$299,'Invoices - Preopening'!$H$20:$H$299,"&gt;="&amp;S$6,'Invoices - Preopening'!$H$20:$H$299,"&lt;="&amp;S$7,'Invoices - Preopening'!$C$20:$C$299,'Model - Preopening &amp; Fees'!$B36)</f>
        <v>0</v>
      </c>
      <c r="T36" s="115">
        <f>SUMIFS('Invoices - Preopening'!$I$20:$I$299,'Invoices - Preopening'!$H$20:$H$299,"&gt;="&amp;T$6,'Invoices - Preopening'!$H$20:$H$299,"&lt;="&amp;T$7,'Invoices - Preopening'!$C$20:$C$299,'Model - Preopening &amp; Fees'!$B36)</f>
        <v>0</v>
      </c>
      <c r="U36" s="115">
        <f>SUMIFS('Invoices - Preopening'!$I$20:$I$299,'Invoices - Preopening'!$H$20:$H$299,"&gt;="&amp;U$6,'Invoices - Preopening'!$H$20:$H$299,"&lt;="&amp;U$7,'Invoices - Preopening'!$C$20:$C$299,'Model - Preopening &amp; Fees'!$B36)</f>
        <v>0</v>
      </c>
      <c r="V36" s="115">
        <f>SUMIFS('Invoices - Preopening'!$I$20:$I$299,'Invoices - Preopening'!$H$20:$H$299,"&gt;="&amp;V$6,'Invoices - Preopening'!$H$20:$H$299,"&lt;="&amp;V$7,'Invoices - Preopening'!$C$20:$C$299,'Model - Preopening &amp; Fees'!$B36)</f>
        <v>0</v>
      </c>
      <c r="W36" s="115">
        <f>SUMIFS('Invoices - Preopening'!$I$20:$I$299,'Invoices - Preopening'!$H$20:$H$299,"&gt;="&amp;W$6,'Invoices - Preopening'!$H$20:$H$299,"&lt;="&amp;W$7,'Invoices - Preopening'!$C$20:$C$299,'Model - Preopening &amp; Fees'!$B36)</f>
        <v>0</v>
      </c>
      <c r="X36" s="115">
        <f>SUMIFS('Invoices - Preopening'!$I$20:$I$299,'Invoices - Preopening'!$H$20:$H$299,"&gt;="&amp;X$6,'Invoices - Preopening'!$H$20:$H$299,"&lt;="&amp;X$7,'Invoices - Preopening'!$C$20:$C$299,'Model - Preopening &amp; Fees'!$B36)</f>
        <v>0</v>
      </c>
      <c r="Y36" s="115">
        <f>SUMIFS('Invoices - Preopening'!$I$20:$I$299,'Invoices - Preopening'!$H$20:$H$299,"&gt;="&amp;Y$6,'Invoices - Preopening'!$H$20:$H$299,"&lt;="&amp;Y$7,'Invoices - Preopening'!$C$20:$C$299,'Model - Preopening &amp; Fees'!$B36)</f>
        <v>0</v>
      </c>
      <c r="Z36" s="115">
        <f>SUMIFS('Invoices - Preopening'!$I$20:$I$299,'Invoices - Preopening'!$H$20:$H$299,"&gt;="&amp;Z$6,'Invoices - Preopening'!$H$20:$H$299,"&lt;="&amp;Z$7,'Invoices - Preopening'!$C$20:$C$299,'Model - Preopening &amp; Fees'!$B36)</f>
        <v>0</v>
      </c>
      <c r="AA36" s="115">
        <f>SUMIFS('Invoices - Preopening'!$I$20:$I$299,'Invoices - Preopening'!$H$20:$H$299,"&gt;="&amp;AA$6,'Invoices - Preopening'!$H$20:$H$299,"&lt;="&amp;AA$7,'Invoices - Preopening'!$C$20:$C$299,'Model - Preopening &amp; Fees'!$B36)</f>
        <v>0</v>
      </c>
      <c r="AB36" s="115">
        <f>SUMIFS('Invoices - Preopening'!$I$20:$I$299,'Invoices - Preopening'!$H$20:$H$299,"&gt;="&amp;AB$6,'Invoices - Preopening'!$H$20:$H$299,"&lt;="&amp;AB$7,'Invoices - Preopening'!$C$20:$C$299,'Model - Preopening &amp; Fees'!$B36)</f>
        <v>0</v>
      </c>
      <c r="AC36" s="115">
        <f>SUMIFS('Invoices - Preopening'!$I$20:$I$299,'Invoices - Preopening'!$H$20:$H$299,"&gt;="&amp;AC$6,'Invoices - Preopening'!$H$20:$H$299,"&lt;="&amp;AC$7,'Invoices - Preopening'!$C$20:$C$299,'Model - Preopening &amp; Fees'!$B36)</f>
        <v>0</v>
      </c>
      <c r="AD36" s="9">
        <v>0</v>
      </c>
      <c r="AE36" s="9">
        <v>0</v>
      </c>
      <c r="AF36" s="9">
        <v>0</v>
      </c>
      <c r="AG36" s="9">
        <v>475</v>
      </c>
      <c r="AH36" s="9">
        <v>475</v>
      </c>
      <c r="AI36" s="9">
        <v>543</v>
      </c>
      <c r="AJ36" s="9">
        <v>408</v>
      </c>
      <c r="AK36" s="9">
        <v>543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T36" s="24">
        <f t="shared" si="27"/>
        <v>0</v>
      </c>
      <c r="AU36" s="24">
        <f t="shared" si="27"/>
        <v>0</v>
      </c>
      <c r="AV36" s="24">
        <f t="shared" si="27"/>
        <v>0</v>
      </c>
      <c r="AW36" s="24">
        <f t="shared" si="27"/>
        <v>0</v>
      </c>
      <c r="AX36" s="24">
        <f t="shared" si="27"/>
        <v>0</v>
      </c>
      <c r="AY36" s="1">
        <f t="shared" si="27"/>
        <v>0</v>
      </c>
      <c r="AZ36" s="1">
        <f t="shared" si="27"/>
        <v>0</v>
      </c>
      <c r="BA36" s="1">
        <f t="shared" si="27"/>
        <v>-1493</v>
      </c>
      <c r="BB36" s="1">
        <f t="shared" si="27"/>
        <v>-951</v>
      </c>
      <c r="BC36" s="1">
        <f t="shared" si="27"/>
        <v>0</v>
      </c>
      <c r="BD36" s="1">
        <f t="shared" si="27"/>
        <v>0</v>
      </c>
      <c r="BF36" s="1">
        <f t="shared" si="32"/>
        <v>-2444</v>
      </c>
    </row>
    <row r="37" spans="1:58" x14ac:dyDescent="0.25">
      <c r="B37" s="112" t="s">
        <v>136</v>
      </c>
      <c r="C37" s="21"/>
      <c r="D37" s="2"/>
      <c r="E37" s="2"/>
      <c r="F37" s="59">
        <f>SUMIFS($L37:$AR37,$L$7:$AR$7,"&lt;="&amp;$J$4)</f>
        <v>0</v>
      </c>
      <c r="G37" s="59">
        <f>SUMIFS($L37:$AR37,$L$7:$AR$7,"&lt;="&amp;$J$4)</f>
        <v>0</v>
      </c>
      <c r="H37" s="59">
        <f t="shared" si="26"/>
        <v>0</v>
      </c>
      <c r="J37" s="1">
        <f t="shared" si="31"/>
        <v>0</v>
      </c>
      <c r="L37" s="115">
        <f>SUMIFS('Invoices - Preopening'!$I$20:$I$299,'Invoices - Preopening'!$H$20:$H$299,"&gt;="&amp;L$6,'Invoices - Preopening'!$H$20:$H$299,"&lt;="&amp;L$7,'Invoices - Preopening'!$C$20:$C$299,'Model - Preopening &amp; Fees'!$B37)</f>
        <v>0</v>
      </c>
      <c r="M37" s="115">
        <f>SUMIFS('Invoices - Preopening'!$I$20:$I$299,'Invoices - Preopening'!$H$20:$H$299,"&gt;="&amp;M$6,'Invoices - Preopening'!$H$20:$H$299,"&lt;="&amp;M$7,'Invoices - Preopening'!$C$20:$C$299,'Model - Preopening &amp; Fees'!$B37)</f>
        <v>0</v>
      </c>
      <c r="N37" s="115">
        <f>SUMIFS('Invoices - Preopening'!$I$20:$I$299,'Invoices - Preopening'!$H$20:$H$299,"&gt;="&amp;N$6,'Invoices - Preopening'!$H$20:$H$299,"&lt;="&amp;N$7,'Invoices - Preopening'!$C$20:$C$299,'Model - Preopening &amp; Fees'!$B37)</f>
        <v>0</v>
      </c>
      <c r="O37" s="115">
        <f>SUMIFS('Invoices - Preopening'!$I$20:$I$299,'Invoices - Preopening'!$H$20:$H$299,"&gt;="&amp;O$6,'Invoices - Preopening'!$H$20:$H$299,"&lt;="&amp;O$7,'Invoices - Preopening'!$C$20:$C$299,'Model - Preopening &amp; Fees'!$B37)</f>
        <v>0</v>
      </c>
      <c r="P37" s="115">
        <f>SUMIFS('Invoices - Preopening'!$I$20:$I$299,'Invoices - Preopening'!$H$20:$H$299,"&gt;="&amp;P$6,'Invoices - Preopening'!$H$20:$H$299,"&lt;="&amp;P$7,'Invoices - Preopening'!$C$20:$C$299,'Model - Preopening &amp; Fees'!$B37)</f>
        <v>0</v>
      </c>
      <c r="Q37" s="115">
        <f>SUMIFS('Invoices - Preopening'!$I$20:$I$299,'Invoices - Preopening'!$H$20:$H$299,"&gt;="&amp;Q$6,'Invoices - Preopening'!$H$20:$H$299,"&lt;="&amp;Q$7,'Invoices - Preopening'!$C$20:$C$299,'Model - Preopening &amp; Fees'!$B37)</f>
        <v>0</v>
      </c>
      <c r="R37" s="115">
        <f>SUMIFS('Invoices - Preopening'!$I$20:$I$299,'Invoices - Preopening'!$H$20:$H$299,"&gt;="&amp;R$6,'Invoices - Preopening'!$H$20:$H$299,"&lt;="&amp;R$7,'Invoices - Preopening'!$C$20:$C$299,'Model - Preopening &amp; Fees'!$B37)</f>
        <v>0</v>
      </c>
      <c r="S37" s="115">
        <f>SUMIFS('Invoices - Preopening'!$I$20:$I$299,'Invoices - Preopening'!$H$20:$H$299,"&gt;="&amp;S$6,'Invoices - Preopening'!$H$20:$H$299,"&lt;="&amp;S$7,'Invoices - Preopening'!$C$20:$C$299,'Model - Preopening &amp; Fees'!$B37)</f>
        <v>0</v>
      </c>
      <c r="T37" s="115">
        <f>SUMIFS('Invoices - Preopening'!$I$20:$I$299,'Invoices - Preopening'!$H$20:$H$299,"&gt;="&amp;T$6,'Invoices - Preopening'!$H$20:$H$299,"&lt;="&amp;T$7,'Invoices - Preopening'!$C$20:$C$299,'Model - Preopening &amp; Fees'!$B37)</f>
        <v>0</v>
      </c>
      <c r="U37" s="115">
        <f>SUMIFS('Invoices - Preopening'!$I$20:$I$299,'Invoices - Preopening'!$H$20:$H$299,"&gt;="&amp;U$6,'Invoices - Preopening'!$H$20:$H$299,"&lt;="&amp;U$7,'Invoices - Preopening'!$C$20:$C$299,'Model - Preopening &amp; Fees'!$B37)</f>
        <v>0</v>
      </c>
      <c r="V37" s="115">
        <f>SUMIFS('Invoices - Preopening'!$I$20:$I$299,'Invoices - Preopening'!$H$20:$H$299,"&gt;="&amp;V$6,'Invoices - Preopening'!$H$20:$H$299,"&lt;="&amp;V$7,'Invoices - Preopening'!$C$20:$C$299,'Model - Preopening &amp; Fees'!$B37)</f>
        <v>0</v>
      </c>
      <c r="W37" s="115">
        <f>SUMIFS('Invoices - Preopening'!$I$20:$I$299,'Invoices - Preopening'!$H$20:$H$299,"&gt;="&amp;W$6,'Invoices - Preopening'!$H$20:$H$299,"&lt;="&amp;W$7,'Invoices - Preopening'!$C$20:$C$299,'Model - Preopening &amp; Fees'!$B37)</f>
        <v>0</v>
      </c>
      <c r="X37" s="115">
        <f>SUMIFS('Invoices - Preopening'!$I$20:$I$299,'Invoices - Preopening'!$H$20:$H$299,"&gt;="&amp;X$6,'Invoices - Preopening'!$H$20:$H$299,"&lt;="&amp;X$7,'Invoices - Preopening'!$C$20:$C$299,'Model - Preopening &amp; Fees'!$B37)</f>
        <v>0</v>
      </c>
      <c r="Y37" s="115">
        <f>SUMIFS('Invoices - Preopening'!$I$20:$I$299,'Invoices - Preopening'!$H$20:$H$299,"&gt;="&amp;Y$6,'Invoices - Preopening'!$H$20:$H$299,"&lt;="&amp;Y$7,'Invoices - Preopening'!$C$20:$C$299,'Model - Preopening &amp; Fees'!$B37)</f>
        <v>0</v>
      </c>
      <c r="Z37" s="115">
        <f>SUMIFS('Invoices - Preopening'!$I$20:$I$299,'Invoices - Preopening'!$H$20:$H$299,"&gt;="&amp;Z$6,'Invoices - Preopening'!$H$20:$H$299,"&lt;="&amp;Z$7,'Invoices - Preopening'!$C$20:$C$299,'Model - Preopening &amp; Fees'!$B37)</f>
        <v>0</v>
      </c>
      <c r="AA37" s="115">
        <f>SUMIFS('Invoices - Preopening'!$I$20:$I$299,'Invoices - Preopening'!$H$20:$H$299,"&gt;="&amp;AA$6,'Invoices - Preopening'!$H$20:$H$299,"&lt;="&amp;AA$7,'Invoices - Preopening'!$C$20:$C$299,'Model - Preopening &amp; Fees'!$B37)</f>
        <v>0</v>
      </c>
      <c r="AB37" s="115">
        <f>SUMIFS('Invoices - Preopening'!$I$20:$I$299,'Invoices - Preopening'!$H$20:$H$299,"&gt;="&amp;AB$6,'Invoices - Preopening'!$H$20:$H$299,"&lt;="&amp;AB$7,'Invoices - Preopening'!$C$20:$C$299,'Model - Preopening &amp; Fees'!$B37)</f>
        <v>0</v>
      </c>
      <c r="AC37" s="115">
        <f>SUMIFS('Invoices - Preopening'!$I$20:$I$299,'Invoices - Preopening'!$H$20:$H$299,"&gt;="&amp;AC$6,'Invoices - Preopening'!$H$20:$H$299,"&lt;="&amp;AC$7,'Invoices - Preopening'!$C$20:$C$299,'Model - Preopening &amp; Fees'!$B37)</f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T37" s="24">
        <f t="shared" si="27"/>
        <v>0</v>
      </c>
      <c r="AU37" s="24">
        <f t="shared" si="27"/>
        <v>0</v>
      </c>
      <c r="AV37" s="24">
        <f t="shared" si="27"/>
        <v>0</v>
      </c>
      <c r="AW37" s="24">
        <f t="shared" si="27"/>
        <v>0</v>
      </c>
      <c r="AX37" s="24">
        <f t="shared" si="27"/>
        <v>0</v>
      </c>
      <c r="AY37" s="1">
        <f t="shared" si="27"/>
        <v>0</v>
      </c>
      <c r="AZ37" s="1">
        <f t="shared" si="27"/>
        <v>0</v>
      </c>
      <c r="BA37" s="1">
        <f t="shared" si="27"/>
        <v>0</v>
      </c>
      <c r="BB37" s="1">
        <f t="shared" si="27"/>
        <v>0</v>
      </c>
      <c r="BC37" s="1">
        <f t="shared" si="27"/>
        <v>0</v>
      </c>
      <c r="BD37" s="1">
        <f t="shared" si="27"/>
        <v>0</v>
      </c>
      <c r="BF37" s="1">
        <f t="shared" si="32"/>
        <v>0</v>
      </c>
    </row>
    <row r="38" spans="1:58" x14ac:dyDescent="0.25">
      <c r="B38" s="21"/>
      <c r="C38" s="21"/>
      <c r="D38" s="2"/>
      <c r="E38" s="2"/>
      <c r="F38" s="9"/>
      <c r="G38" s="59"/>
      <c r="H38" s="59"/>
      <c r="J38" s="1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T38" s="24"/>
      <c r="AU38" s="24"/>
      <c r="AV38" s="24"/>
      <c r="AW38" s="24"/>
      <c r="AX38" s="24"/>
      <c r="AY38" s="1"/>
      <c r="AZ38" s="1"/>
      <c r="BA38" s="1"/>
      <c r="BB38" s="1"/>
      <c r="BC38" s="1"/>
      <c r="BD38" s="1"/>
      <c r="BF38" s="1"/>
    </row>
    <row r="39" spans="1:58" x14ac:dyDescent="0.25">
      <c r="B39" s="141" t="s">
        <v>137</v>
      </c>
      <c r="C39" s="141"/>
      <c r="D39" s="142"/>
      <c r="E39" s="142"/>
      <c r="F39" s="141"/>
      <c r="G39" s="141"/>
      <c r="H39" s="141"/>
      <c r="J39" s="110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F39" s="141"/>
    </row>
    <row r="40" spans="1:58" x14ac:dyDescent="0.25">
      <c r="A40">
        <v>1</v>
      </c>
      <c r="B40" s="21" t="s">
        <v>244</v>
      </c>
      <c r="C40" s="21"/>
      <c r="D40" s="2" t="s">
        <v>119</v>
      </c>
      <c r="E40" s="2" t="s">
        <v>126</v>
      </c>
      <c r="F40" s="9">
        <v>25000</v>
      </c>
      <c r="G40" s="59">
        <f t="shared" ref="G40" si="33">SUMIFS($L40:$AR40,$L$7:$AR$7,"&lt;="&amp;$J$4)</f>
        <v>0</v>
      </c>
      <c r="H40" s="59">
        <f t="shared" ref="H40:H41" si="34">J40-G40</f>
        <v>25000</v>
      </c>
      <c r="J40" s="1">
        <f t="shared" ref="J40:J41" si="35">SUM(L40:AR40)</f>
        <v>25000</v>
      </c>
      <c r="L40" s="115">
        <f>SUMIFS('Invoices - Preopening'!$I$20:$I$299,'Invoices - Preopening'!$H$20:$H$299,"&gt;="&amp;L$6,'Invoices - Preopening'!$H$20:$H$299,"&lt;="&amp;L$7,'Invoices - Preopening'!$C$20:$C$299,'Model - Preopening &amp; Fees'!$B40)</f>
        <v>0</v>
      </c>
      <c r="M40" s="115">
        <f>SUMIFS('Invoices - Preopening'!$I$20:$I$299,'Invoices - Preopening'!$H$20:$H$299,"&gt;="&amp;M$6,'Invoices - Preopening'!$H$20:$H$299,"&lt;="&amp;M$7,'Invoices - Preopening'!$C$20:$C$299,'Model - Preopening &amp; Fees'!$B40)</f>
        <v>0</v>
      </c>
      <c r="N40" s="115">
        <f>SUMIFS('Invoices - Preopening'!$I$20:$I$299,'Invoices - Preopening'!$H$20:$H$299,"&gt;="&amp;N$6,'Invoices - Preopening'!$H$20:$H$299,"&lt;="&amp;N$7,'Invoices - Preopening'!$C$20:$C$299,'Model - Preopening &amp; Fees'!$B40)</f>
        <v>0</v>
      </c>
      <c r="O40" s="115">
        <f>SUMIFS('Invoices - Preopening'!$I$20:$I$299,'Invoices - Preopening'!$H$20:$H$299,"&gt;="&amp;O$6,'Invoices - Preopening'!$H$20:$H$299,"&lt;="&amp;O$7,'Invoices - Preopening'!$C$20:$C$299,'Model - Preopening &amp; Fees'!$B40)</f>
        <v>0</v>
      </c>
      <c r="P40" s="115">
        <f>SUMIFS('Invoices - Preopening'!$I$20:$I$299,'Invoices - Preopening'!$H$20:$H$299,"&gt;="&amp;P$6,'Invoices - Preopening'!$H$20:$H$299,"&lt;="&amp;P$7,'Invoices - Preopening'!$C$20:$C$299,'Model - Preopening &amp; Fees'!$B40)</f>
        <v>0</v>
      </c>
      <c r="Q40" s="115">
        <f>SUMIFS('Invoices - Preopening'!$I$20:$I$299,'Invoices - Preopening'!$H$20:$H$299,"&gt;="&amp;Q$6,'Invoices - Preopening'!$H$20:$H$299,"&lt;="&amp;Q$7,'Invoices - Preopening'!$C$20:$C$299,'Model - Preopening &amp; Fees'!$B40)</f>
        <v>0</v>
      </c>
      <c r="R40" s="115">
        <f>SUMIFS('Invoices - Preopening'!$I$20:$I$299,'Invoices - Preopening'!$H$20:$H$299,"&gt;="&amp;R$6,'Invoices - Preopening'!$H$20:$H$299,"&lt;="&amp;R$7,'Invoices - Preopening'!$C$20:$C$299,'Model - Preopening &amp; Fees'!$B40)</f>
        <v>0</v>
      </c>
      <c r="S40" s="115">
        <f>SUMIFS('Invoices - Preopening'!$I$20:$I$299,'Invoices - Preopening'!$H$20:$H$299,"&gt;="&amp;S$6,'Invoices - Preopening'!$H$20:$H$299,"&lt;="&amp;S$7,'Invoices - Preopening'!$C$20:$C$299,'Model - Preopening &amp; Fees'!$B40)</f>
        <v>0</v>
      </c>
      <c r="T40" s="115">
        <f>SUMIFS('Invoices - Preopening'!$I$20:$I$299,'Invoices - Preopening'!$H$20:$H$299,"&gt;="&amp;T$6,'Invoices - Preopening'!$H$20:$H$299,"&lt;="&amp;T$7,'Invoices - Preopening'!$C$20:$C$299,'Model - Preopening &amp; Fees'!$B40)</f>
        <v>0</v>
      </c>
      <c r="U40" s="115">
        <f>SUMIFS('Invoices - Preopening'!$I$20:$I$299,'Invoices - Preopening'!$H$20:$H$299,"&gt;="&amp;U$6,'Invoices - Preopening'!$H$20:$H$299,"&lt;="&amp;U$7,'Invoices - Preopening'!$C$20:$C$299,'Model - Preopening &amp; Fees'!$B40)</f>
        <v>0</v>
      </c>
      <c r="V40" s="115">
        <f>SUMIFS('Invoices - Preopening'!$I$20:$I$299,'Invoices - Preopening'!$H$20:$H$299,"&gt;="&amp;V$6,'Invoices - Preopening'!$H$20:$H$299,"&lt;="&amp;V$7,'Invoices - Preopening'!$C$20:$C$299,'Model - Preopening &amp; Fees'!$B40)</f>
        <v>0</v>
      </c>
      <c r="W40" s="115">
        <f>SUMIFS('Invoices - Preopening'!$I$20:$I$299,'Invoices - Preopening'!$H$20:$H$299,"&gt;="&amp;W$6,'Invoices - Preopening'!$H$20:$H$299,"&lt;="&amp;W$7,'Invoices - Preopening'!$C$20:$C$299,'Model - Preopening &amp; Fees'!$B40)</f>
        <v>0</v>
      </c>
      <c r="X40" s="115">
        <f>SUMIFS('Invoices - Preopening'!$I$20:$I$299,'Invoices - Preopening'!$H$20:$H$299,"&gt;="&amp;X$6,'Invoices - Preopening'!$H$20:$H$299,"&lt;="&amp;X$7,'Invoices - Preopening'!$C$20:$C$299,'Model - Preopening &amp; Fees'!$B40)</f>
        <v>0</v>
      </c>
      <c r="Y40" s="115">
        <f>SUMIFS('Invoices - Preopening'!$I$20:$I$299,'Invoices - Preopening'!$H$20:$H$299,"&gt;="&amp;Y$6,'Invoices - Preopening'!$H$20:$H$299,"&lt;="&amp;Y$7,'Invoices - Preopening'!$C$20:$C$299,'Model - Preopening &amp; Fees'!$B40)</f>
        <v>0</v>
      </c>
      <c r="Z40" s="115">
        <f>SUMIFS('Invoices - Preopening'!$I$20:$I$299,'Invoices - Preopening'!$H$20:$H$299,"&gt;="&amp;Z$6,'Invoices - Preopening'!$H$20:$H$299,"&lt;="&amp;Z$7,'Invoices - Preopening'!$C$20:$C$299,'Model - Preopening &amp; Fees'!$B40)</f>
        <v>0</v>
      </c>
      <c r="AA40" s="115">
        <f>SUMIFS('Invoices - Preopening'!$I$20:$I$299,'Invoices - Preopening'!$H$20:$H$299,"&gt;="&amp;AA$6,'Invoices - Preopening'!$H$20:$H$299,"&lt;="&amp;AA$7,'Invoices - Preopening'!$C$20:$C$299,'Model - Preopening &amp; Fees'!$B40)</f>
        <v>0</v>
      </c>
      <c r="AB40" s="115">
        <f>SUMIFS('Invoices - Preopening'!$I$20:$I$299,'Invoices - Preopening'!$H$20:$H$299,"&gt;="&amp;AB$6,'Invoices - Preopening'!$H$20:$H$299,"&lt;="&amp;AB$7,'Invoices - Preopening'!$C$20:$C$299,'Model - Preopening &amp; Fees'!$B40)</f>
        <v>0</v>
      </c>
      <c r="AC40" s="115">
        <f>SUMIFS('Invoices - Preopening'!$I$20:$I$299,'Invoices - Preopening'!$H$20:$H$299,"&gt;="&amp;AC$6,'Invoices - Preopening'!$H$20:$H$299,"&lt;="&amp;AC$7,'Invoices - Preopening'!$C$20:$C$299,'Model - Preopening &amp; Fees'!$B40)</f>
        <v>0</v>
      </c>
      <c r="AD40" s="9">
        <v>0</v>
      </c>
      <c r="AE40" s="9">
        <v>0</v>
      </c>
      <c r="AF40" s="9">
        <v>0</v>
      </c>
      <c r="AG40" s="9">
        <v>0</v>
      </c>
      <c r="AH40" s="9">
        <v>5000</v>
      </c>
      <c r="AI40" s="9">
        <v>0</v>
      </c>
      <c r="AJ40" s="9">
        <v>5000</v>
      </c>
      <c r="AK40" s="9">
        <v>10000</v>
      </c>
      <c r="AL40" s="9">
        <v>0</v>
      </c>
      <c r="AM40" s="9">
        <v>5000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T40" s="24">
        <f t="shared" ref="AT40:BD41" si="36">-SUMIFS($L40:$AR40,$L$5:$AR$5,AT$5)</f>
        <v>0</v>
      </c>
      <c r="AU40" s="24">
        <f t="shared" si="36"/>
        <v>0</v>
      </c>
      <c r="AV40" s="24">
        <f t="shared" si="36"/>
        <v>0</v>
      </c>
      <c r="AW40" s="24">
        <f t="shared" si="36"/>
        <v>0</v>
      </c>
      <c r="AX40" s="24">
        <f t="shared" si="36"/>
        <v>0</v>
      </c>
      <c r="AY40" s="1">
        <f t="shared" si="36"/>
        <v>0</v>
      </c>
      <c r="AZ40" s="1">
        <f t="shared" si="36"/>
        <v>0</v>
      </c>
      <c r="BA40" s="1">
        <f t="shared" si="36"/>
        <v>-5000</v>
      </c>
      <c r="BB40" s="1">
        <f t="shared" si="36"/>
        <v>-15000</v>
      </c>
      <c r="BC40" s="1">
        <f t="shared" si="36"/>
        <v>-5000</v>
      </c>
      <c r="BD40" s="1">
        <f t="shared" si="36"/>
        <v>0</v>
      </c>
      <c r="BF40" s="1">
        <f t="shared" ref="BF40:BF41" si="37">SUM(AT40:BD40)</f>
        <v>-25000</v>
      </c>
    </row>
    <row r="41" spans="1:58" x14ac:dyDescent="0.25">
      <c r="A41">
        <v>1</v>
      </c>
      <c r="B41" s="21" t="s">
        <v>245</v>
      </c>
      <c r="C41" s="21"/>
      <c r="D41" s="2" t="s">
        <v>119</v>
      </c>
      <c r="E41" s="2" t="s">
        <v>126</v>
      </c>
      <c r="F41" s="9">
        <v>5000</v>
      </c>
      <c r="G41" s="59">
        <f>SUMIFS($L41:$AR41,$L$7:$AR$7,"&lt;="&amp;$J$4)</f>
        <v>0</v>
      </c>
      <c r="H41" s="59">
        <f t="shared" si="34"/>
        <v>5000</v>
      </c>
      <c r="J41" s="1">
        <f t="shared" si="35"/>
        <v>5000</v>
      </c>
      <c r="L41" s="115">
        <f>SUMIFS('Invoices - Preopening'!$I$20:$I$299,'Invoices - Preopening'!$H$20:$H$299,"&gt;="&amp;L$6,'Invoices - Preopening'!$H$20:$H$299,"&lt;="&amp;L$7,'Invoices - Preopening'!$C$20:$C$299,'Model - Preopening &amp; Fees'!$B41)</f>
        <v>0</v>
      </c>
      <c r="M41" s="115">
        <f>SUMIFS('Invoices - Preopening'!$I$20:$I$299,'Invoices - Preopening'!$H$20:$H$299,"&gt;="&amp;M$6,'Invoices - Preopening'!$H$20:$H$299,"&lt;="&amp;M$7,'Invoices - Preopening'!$C$20:$C$299,'Model - Preopening &amp; Fees'!$B41)</f>
        <v>0</v>
      </c>
      <c r="N41" s="115">
        <f>SUMIFS('Invoices - Preopening'!$I$20:$I$299,'Invoices - Preopening'!$H$20:$H$299,"&gt;="&amp;N$6,'Invoices - Preopening'!$H$20:$H$299,"&lt;="&amp;N$7,'Invoices - Preopening'!$C$20:$C$299,'Model - Preopening &amp; Fees'!$B41)</f>
        <v>0</v>
      </c>
      <c r="O41" s="115">
        <f>SUMIFS('Invoices - Preopening'!$I$20:$I$299,'Invoices - Preopening'!$H$20:$H$299,"&gt;="&amp;O$6,'Invoices - Preopening'!$H$20:$H$299,"&lt;="&amp;O$7,'Invoices - Preopening'!$C$20:$C$299,'Model - Preopening &amp; Fees'!$B41)</f>
        <v>0</v>
      </c>
      <c r="P41" s="115">
        <f>SUMIFS('Invoices - Preopening'!$I$20:$I$299,'Invoices - Preopening'!$H$20:$H$299,"&gt;="&amp;P$6,'Invoices - Preopening'!$H$20:$H$299,"&lt;="&amp;P$7,'Invoices - Preopening'!$C$20:$C$299,'Model - Preopening &amp; Fees'!$B41)</f>
        <v>0</v>
      </c>
      <c r="Q41" s="115">
        <f>SUMIFS('Invoices - Preopening'!$I$20:$I$299,'Invoices - Preopening'!$H$20:$H$299,"&gt;="&amp;Q$6,'Invoices - Preopening'!$H$20:$H$299,"&lt;="&amp;Q$7,'Invoices - Preopening'!$C$20:$C$299,'Model - Preopening &amp; Fees'!$B41)</f>
        <v>0</v>
      </c>
      <c r="R41" s="115">
        <f>SUMIFS('Invoices - Preopening'!$I$20:$I$299,'Invoices - Preopening'!$H$20:$H$299,"&gt;="&amp;R$6,'Invoices - Preopening'!$H$20:$H$299,"&lt;="&amp;R$7,'Invoices - Preopening'!$C$20:$C$299,'Model - Preopening &amp; Fees'!$B41)</f>
        <v>0</v>
      </c>
      <c r="S41" s="115">
        <f>SUMIFS('Invoices - Preopening'!$I$20:$I$299,'Invoices - Preopening'!$H$20:$H$299,"&gt;="&amp;S$6,'Invoices - Preopening'!$H$20:$H$299,"&lt;="&amp;S$7,'Invoices - Preopening'!$C$20:$C$299,'Model - Preopening &amp; Fees'!$B41)</f>
        <v>0</v>
      </c>
      <c r="T41" s="115">
        <f>SUMIFS('Invoices - Preopening'!$I$20:$I$299,'Invoices - Preopening'!$H$20:$H$299,"&gt;="&amp;T$6,'Invoices - Preopening'!$H$20:$H$299,"&lt;="&amp;T$7,'Invoices - Preopening'!$C$20:$C$299,'Model - Preopening &amp; Fees'!$B41)</f>
        <v>0</v>
      </c>
      <c r="U41" s="115">
        <f>SUMIFS('Invoices - Preopening'!$I$20:$I$299,'Invoices - Preopening'!$H$20:$H$299,"&gt;="&amp;U$6,'Invoices - Preopening'!$H$20:$H$299,"&lt;="&amp;U$7,'Invoices - Preopening'!$C$20:$C$299,'Model - Preopening &amp; Fees'!$B41)</f>
        <v>0</v>
      </c>
      <c r="V41" s="115">
        <f>SUMIFS('Invoices - Preopening'!$I$20:$I$299,'Invoices - Preopening'!$H$20:$H$299,"&gt;="&amp;V$6,'Invoices - Preopening'!$H$20:$H$299,"&lt;="&amp;V$7,'Invoices - Preopening'!$C$20:$C$299,'Model - Preopening &amp; Fees'!$B41)</f>
        <v>0</v>
      </c>
      <c r="W41" s="115">
        <f>SUMIFS('Invoices - Preopening'!$I$20:$I$299,'Invoices - Preopening'!$H$20:$H$299,"&gt;="&amp;W$6,'Invoices - Preopening'!$H$20:$H$299,"&lt;="&amp;W$7,'Invoices - Preopening'!$C$20:$C$299,'Model - Preopening &amp; Fees'!$B41)</f>
        <v>0</v>
      </c>
      <c r="X41" s="115">
        <f>SUMIFS('Invoices - Preopening'!$I$20:$I$299,'Invoices - Preopening'!$H$20:$H$299,"&gt;="&amp;X$6,'Invoices - Preopening'!$H$20:$H$299,"&lt;="&amp;X$7,'Invoices - Preopening'!$C$20:$C$299,'Model - Preopening &amp; Fees'!$B41)</f>
        <v>0</v>
      </c>
      <c r="Y41" s="115">
        <f>SUMIFS('Invoices - Preopening'!$I$20:$I$299,'Invoices - Preopening'!$H$20:$H$299,"&gt;="&amp;Y$6,'Invoices - Preopening'!$H$20:$H$299,"&lt;="&amp;Y$7,'Invoices - Preopening'!$C$20:$C$299,'Model - Preopening &amp; Fees'!$B41)</f>
        <v>0</v>
      </c>
      <c r="Z41" s="115">
        <f>SUMIFS('Invoices - Preopening'!$I$20:$I$299,'Invoices - Preopening'!$H$20:$H$299,"&gt;="&amp;Z$6,'Invoices - Preopening'!$H$20:$H$299,"&lt;="&amp;Z$7,'Invoices - Preopening'!$C$20:$C$299,'Model - Preopening &amp; Fees'!$B41)</f>
        <v>0</v>
      </c>
      <c r="AA41" s="115">
        <f>SUMIFS('Invoices - Preopening'!$I$20:$I$299,'Invoices - Preopening'!$H$20:$H$299,"&gt;="&amp;AA$6,'Invoices - Preopening'!$H$20:$H$299,"&lt;="&amp;AA$7,'Invoices - Preopening'!$C$20:$C$299,'Model - Preopening &amp; Fees'!$B41)</f>
        <v>0</v>
      </c>
      <c r="AB41" s="115">
        <f>SUMIFS('Invoices - Preopening'!$I$20:$I$299,'Invoices - Preopening'!$H$20:$H$299,"&gt;="&amp;AB$6,'Invoices - Preopening'!$H$20:$H$299,"&lt;="&amp;AB$7,'Invoices - Preopening'!$C$20:$C$299,'Model - Preopening &amp; Fees'!$B41)</f>
        <v>0</v>
      </c>
      <c r="AC41" s="115">
        <f>SUMIFS('Invoices - Preopening'!$I$20:$I$299,'Invoices - Preopening'!$H$20:$H$299,"&gt;="&amp;AC$6,'Invoices - Preopening'!$H$20:$H$299,"&lt;="&amp;AC$7,'Invoices - Preopening'!$C$20:$C$299,'Model - Preopening &amp; Fees'!$B41)</f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2000</v>
      </c>
      <c r="AL41" s="9">
        <v>1500</v>
      </c>
      <c r="AM41" s="9">
        <v>1500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T41" s="24">
        <f t="shared" si="36"/>
        <v>0</v>
      </c>
      <c r="AU41" s="24">
        <f t="shared" si="36"/>
        <v>0</v>
      </c>
      <c r="AV41" s="24">
        <f t="shared" si="36"/>
        <v>0</v>
      </c>
      <c r="AW41" s="24">
        <f t="shared" si="36"/>
        <v>0</v>
      </c>
      <c r="AX41" s="24">
        <f t="shared" si="36"/>
        <v>0</v>
      </c>
      <c r="AY41" s="1">
        <f t="shared" si="36"/>
        <v>0</v>
      </c>
      <c r="AZ41" s="1">
        <f t="shared" si="36"/>
        <v>0</v>
      </c>
      <c r="BA41" s="1">
        <f t="shared" si="36"/>
        <v>0</v>
      </c>
      <c r="BB41" s="1">
        <f t="shared" si="36"/>
        <v>-3500</v>
      </c>
      <c r="BC41" s="1">
        <f t="shared" si="36"/>
        <v>-1500</v>
      </c>
      <c r="BD41" s="1">
        <f t="shared" si="36"/>
        <v>0</v>
      </c>
      <c r="BF41" s="1">
        <f t="shared" si="37"/>
        <v>-5000</v>
      </c>
    </row>
    <row r="42" spans="1:58" x14ac:dyDescent="0.25">
      <c r="B42" s="21"/>
      <c r="C42" s="21"/>
      <c r="D42" s="2"/>
      <c r="E42" s="2"/>
      <c r="F42" s="9"/>
      <c r="G42" s="59"/>
      <c r="H42" s="59"/>
      <c r="J42" s="1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T42" s="24"/>
      <c r="AU42" s="24"/>
      <c r="AV42" s="24"/>
      <c r="AW42" s="24"/>
      <c r="AX42" s="24"/>
      <c r="AY42" s="1"/>
      <c r="AZ42" s="1"/>
      <c r="BA42" s="1"/>
      <c r="BB42" s="1"/>
      <c r="BC42" s="1"/>
      <c r="BD42" s="1"/>
      <c r="BF42" s="1"/>
    </row>
    <row r="43" spans="1:58" x14ac:dyDescent="0.25">
      <c r="B43" s="141" t="s">
        <v>138</v>
      </c>
      <c r="C43" s="141"/>
      <c r="D43" s="142"/>
      <c r="E43" s="142"/>
      <c r="F43" s="141"/>
      <c r="G43" s="141"/>
      <c r="H43" s="141"/>
      <c r="J43" s="110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T43" s="141"/>
      <c r="AU43" s="141"/>
      <c r="AV43" s="141"/>
      <c r="AW43" s="141"/>
      <c r="AX43" s="141"/>
      <c r="AY43" s="141"/>
      <c r="AZ43" s="141"/>
      <c r="BA43" s="141"/>
      <c r="BB43" s="141"/>
      <c r="BC43" s="141"/>
      <c r="BD43" s="141"/>
      <c r="BF43" s="141"/>
    </row>
    <row r="44" spans="1:58" x14ac:dyDescent="0.25">
      <c r="A44">
        <v>1</v>
      </c>
      <c r="B44" s="113" t="s">
        <v>139</v>
      </c>
      <c r="C44" s="21"/>
      <c r="D44" s="2" t="s">
        <v>119</v>
      </c>
      <c r="E44" s="2" t="s">
        <v>126</v>
      </c>
      <c r="F44" s="9">
        <v>3000</v>
      </c>
      <c r="G44" s="59">
        <f t="shared" ref="G44" si="38">SUMIFS($L44:$AR44,$L$7:$AR$7,"&lt;="&amp;$J$4)</f>
        <v>0</v>
      </c>
      <c r="H44" s="59">
        <f>J44-G44</f>
        <v>3000</v>
      </c>
      <c r="J44" s="1">
        <f t="shared" ref="J44" si="39">SUM(L44:AR44)</f>
        <v>3000</v>
      </c>
      <c r="L44" s="115">
        <f>SUMIFS('Invoices - Preopening'!$I$20:$I$299,'Invoices - Preopening'!$H$20:$H$299,"&gt;="&amp;L$6,'Invoices - Preopening'!$H$20:$H$299,"&lt;="&amp;L$7,'Invoices - Preopening'!$C$20:$C$299,'Model - Preopening &amp; Fees'!$B44)</f>
        <v>0</v>
      </c>
      <c r="M44" s="115">
        <f>SUMIFS('Invoices - Preopening'!$I$20:$I$299,'Invoices - Preopening'!$H$20:$H$299,"&gt;="&amp;M$6,'Invoices - Preopening'!$H$20:$H$299,"&lt;="&amp;M$7,'Invoices - Preopening'!$C$20:$C$299,'Model - Preopening &amp; Fees'!$B44)</f>
        <v>0</v>
      </c>
      <c r="N44" s="115">
        <f>SUMIFS('Invoices - Preopening'!$I$20:$I$299,'Invoices - Preopening'!$H$20:$H$299,"&gt;="&amp;N$6,'Invoices - Preopening'!$H$20:$H$299,"&lt;="&amp;N$7,'Invoices - Preopening'!$C$20:$C$299,'Model - Preopening &amp; Fees'!$B44)</f>
        <v>0</v>
      </c>
      <c r="O44" s="115">
        <f>SUMIFS('Invoices - Preopening'!$I$20:$I$299,'Invoices - Preopening'!$H$20:$H$299,"&gt;="&amp;O$6,'Invoices - Preopening'!$H$20:$H$299,"&lt;="&amp;O$7,'Invoices - Preopening'!$C$20:$C$299,'Model - Preopening &amp; Fees'!$B44)</f>
        <v>0</v>
      </c>
      <c r="P44" s="115">
        <f>SUMIFS('Invoices - Preopening'!$I$20:$I$299,'Invoices - Preopening'!$H$20:$H$299,"&gt;="&amp;P$6,'Invoices - Preopening'!$H$20:$H$299,"&lt;="&amp;P$7,'Invoices - Preopening'!$C$20:$C$299,'Model - Preopening &amp; Fees'!$B44)</f>
        <v>0</v>
      </c>
      <c r="Q44" s="115">
        <f>SUMIFS('Invoices - Preopening'!$I$20:$I$299,'Invoices - Preopening'!$H$20:$H$299,"&gt;="&amp;Q$6,'Invoices - Preopening'!$H$20:$H$299,"&lt;="&amp;Q$7,'Invoices - Preopening'!$C$20:$C$299,'Model - Preopening &amp; Fees'!$B44)</f>
        <v>0</v>
      </c>
      <c r="R44" s="115">
        <f>SUMIFS('Invoices - Preopening'!$I$20:$I$299,'Invoices - Preopening'!$H$20:$H$299,"&gt;="&amp;R$6,'Invoices - Preopening'!$H$20:$H$299,"&lt;="&amp;R$7,'Invoices - Preopening'!$C$20:$C$299,'Model - Preopening &amp; Fees'!$B44)</f>
        <v>0</v>
      </c>
      <c r="S44" s="115">
        <f>SUMIFS('Invoices - Preopening'!$I$20:$I$299,'Invoices - Preopening'!$H$20:$H$299,"&gt;="&amp;S$6,'Invoices - Preopening'!$H$20:$H$299,"&lt;="&amp;S$7,'Invoices - Preopening'!$C$20:$C$299,'Model - Preopening &amp; Fees'!$B44)</f>
        <v>0</v>
      </c>
      <c r="T44" s="115">
        <f>SUMIFS('Invoices - Preopening'!$I$20:$I$299,'Invoices - Preopening'!$H$20:$H$299,"&gt;="&amp;T$6,'Invoices - Preopening'!$H$20:$H$299,"&lt;="&amp;T$7,'Invoices - Preopening'!$C$20:$C$299,'Model - Preopening &amp; Fees'!$B44)</f>
        <v>0</v>
      </c>
      <c r="U44" s="115">
        <f>SUMIFS('Invoices - Preopening'!$I$20:$I$299,'Invoices - Preopening'!$H$20:$H$299,"&gt;="&amp;U$6,'Invoices - Preopening'!$H$20:$H$299,"&lt;="&amp;U$7,'Invoices - Preopening'!$C$20:$C$299,'Model - Preopening &amp; Fees'!$B44)</f>
        <v>0</v>
      </c>
      <c r="V44" s="115">
        <f>SUMIFS('Invoices - Preopening'!$I$20:$I$299,'Invoices - Preopening'!$H$20:$H$299,"&gt;="&amp;V$6,'Invoices - Preopening'!$H$20:$H$299,"&lt;="&amp;V$7,'Invoices - Preopening'!$C$20:$C$299,'Model - Preopening &amp; Fees'!$B44)</f>
        <v>0</v>
      </c>
      <c r="W44" s="115">
        <f>SUMIFS('Invoices - Preopening'!$I$20:$I$299,'Invoices - Preopening'!$H$20:$H$299,"&gt;="&amp;W$6,'Invoices - Preopening'!$H$20:$H$299,"&lt;="&amp;W$7,'Invoices - Preopening'!$C$20:$C$299,'Model - Preopening &amp; Fees'!$B44)</f>
        <v>0</v>
      </c>
      <c r="X44" s="115">
        <f>SUMIFS('Invoices - Preopening'!$I$20:$I$299,'Invoices - Preopening'!$H$20:$H$299,"&gt;="&amp;X$6,'Invoices - Preopening'!$H$20:$H$299,"&lt;="&amp;X$7,'Invoices - Preopening'!$C$20:$C$299,'Model - Preopening &amp; Fees'!$B44)</f>
        <v>0</v>
      </c>
      <c r="Y44" s="115">
        <f>SUMIFS('Invoices - Preopening'!$I$20:$I$299,'Invoices - Preopening'!$H$20:$H$299,"&gt;="&amp;Y$6,'Invoices - Preopening'!$H$20:$H$299,"&lt;="&amp;Y$7,'Invoices - Preopening'!$C$20:$C$299,'Model - Preopening &amp; Fees'!$B44)</f>
        <v>0</v>
      </c>
      <c r="Z44" s="115">
        <f>SUMIFS('Invoices - Preopening'!$I$20:$I$299,'Invoices - Preopening'!$H$20:$H$299,"&gt;="&amp;Z$6,'Invoices - Preopening'!$H$20:$H$299,"&lt;="&amp;Z$7,'Invoices - Preopening'!$C$20:$C$299,'Model - Preopening &amp; Fees'!$B44)</f>
        <v>0</v>
      </c>
      <c r="AA44" s="115">
        <f>SUMIFS('Invoices - Preopening'!$I$20:$I$299,'Invoices - Preopening'!$H$20:$H$299,"&gt;="&amp;AA$6,'Invoices - Preopening'!$H$20:$H$299,"&lt;="&amp;AA$7,'Invoices - Preopening'!$C$20:$C$299,'Model - Preopening &amp; Fees'!$B44)</f>
        <v>0</v>
      </c>
      <c r="AB44" s="115">
        <f>SUMIFS('Invoices - Preopening'!$I$20:$I$299,'Invoices - Preopening'!$H$20:$H$299,"&gt;="&amp;AB$6,'Invoices - Preopening'!$H$20:$H$299,"&lt;="&amp;AB$7,'Invoices - Preopening'!$C$20:$C$299,'Model - Preopening &amp; Fees'!$B44)</f>
        <v>0</v>
      </c>
      <c r="AC44" s="115">
        <f>SUMIFS('Invoices - Preopening'!$I$20:$I$299,'Invoices - Preopening'!$H$20:$H$299,"&gt;="&amp;AC$6,'Invoices - Preopening'!$H$20:$H$299,"&lt;="&amp;AC$7,'Invoices - Preopening'!$C$20:$C$299,'Model - Preopening &amp; Fees'!$B44)</f>
        <v>0</v>
      </c>
      <c r="AD44" s="9">
        <v>0</v>
      </c>
      <c r="AE44" s="9">
        <v>0</v>
      </c>
      <c r="AF44" s="9">
        <v>0</v>
      </c>
      <c r="AG44" s="9">
        <v>3000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T44" s="24">
        <f t="shared" ref="AT44:BD45" si="40">-SUMIFS($L44:$AR44,$L$5:$AR$5,AT$5)</f>
        <v>0</v>
      </c>
      <c r="AU44" s="24">
        <f t="shared" si="40"/>
        <v>0</v>
      </c>
      <c r="AV44" s="24">
        <f t="shared" si="40"/>
        <v>0</v>
      </c>
      <c r="AW44" s="24">
        <f t="shared" si="40"/>
        <v>0</v>
      </c>
      <c r="AX44" s="24">
        <f t="shared" si="40"/>
        <v>0</v>
      </c>
      <c r="AY44" s="1">
        <f t="shared" si="40"/>
        <v>0</v>
      </c>
      <c r="AZ44" s="1">
        <f t="shared" si="40"/>
        <v>0</v>
      </c>
      <c r="BA44" s="1">
        <f t="shared" si="40"/>
        <v>-3000</v>
      </c>
      <c r="BB44" s="1">
        <f t="shared" si="40"/>
        <v>0</v>
      </c>
      <c r="BC44" s="1">
        <f t="shared" si="40"/>
        <v>0</v>
      </c>
      <c r="BD44" s="1">
        <f t="shared" si="40"/>
        <v>0</v>
      </c>
      <c r="BF44" s="1">
        <f t="shared" ref="BF44:BF45" si="41">SUM(AT44:BD44)</f>
        <v>-3000</v>
      </c>
    </row>
    <row r="45" spans="1:58" x14ac:dyDescent="0.25">
      <c r="B45" s="21"/>
      <c r="C45" s="21"/>
      <c r="D45" s="2"/>
      <c r="E45" s="2"/>
      <c r="F45" s="9"/>
      <c r="G45" s="59"/>
      <c r="H45" s="59"/>
      <c r="J45" s="1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T45" s="1">
        <f t="shared" si="40"/>
        <v>0</v>
      </c>
      <c r="AU45" s="1">
        <f t="shared" si="40"/>
        <v>0</v>
      </c>
      <c r="AV45" s="1">
        <f t="shared" si="40"/>
        <v>0</v>
      </c>
      <c r="AW45" s="1">
        <f t="shared" si="40"/>
        <v>0</v>
      </c>
      <c r="AX45" s="1">
        <f t="shared" si="40"/>
        <v>0</v>
      </c>
      <c r="AY45" s="1">
        <f t="shared" si="40"/>
        <v>0</v>
      </c>
      <c r="AZ45" s="1">
        <f t="shared" si="40"/>
        <v>0</v>
      </c>
      <c r="BA45" s="1">
        <f t="shared" si="40"/>
        <v>0</v>
      </c>
      <c r="BB45" s="1">
        <f t="shared" si="40"/>
        <v>0</v>
      </c>
      <c r="BC45" s="1">
        <f t="shared" si="40"/>
        <v>0</v>
      </c>
      <c r="BD45" s="1">
        <f t="shared" si="40"/>
        <v>0</v>
      </c>
      <c r="BF45" s="1">
        <f t="shared" si="41"/>
        <v>0</v>
      </c>
    </row>
    <row r="46" spans="1:58" x14ac:dyDescent="0.25">
      <c r="B46" s="141" t="s">
        <v>140</v>
      </c>
      <c r="C46" s="141"/>
      <c r="D46" s="142"/>
      <c r="E46" s="142"/>
      <c r="F46" s="141"/>
      <c r="G46" s="141"/>
      <c r="H46" s="141"/>
      <c r="J46" s="110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F46" s="141"/>
    </row>
    <row r="47" spans="1:58" x14ac:dyDescent="0.25">
      <c r="A47">
        <v>1</v>
      </c>
      <c r="B47" s="21" t="s">
        <v>246</v>
      </c>
      <c r="C47" s="21"/>
      <c r="D47" s="2" t="s">
        <v>119</v>
      </c>
      <c r="E47" s="2" t="s">
        <v>126</v>
      </c>
      <c r="F47" s="9">
        <v>7500</v>
      </c>
      <c r="G47" s="59">
        <f t="shared" ref="G47" si="42">SUMIFS($L47:$AR47,$L$7:$AR$7,"&lt;="&amp;$J$4)</f>
        <v>0</v>
      </c>
      <c r="H47" s="59">
        <f t="shared" ref="H47:H51" si="43">J47-G47</f>
        <v>7500</v>
      </c>
      <c r="J47" s="1">
        <f t="shared" ref="J47:J49" si="44">SUM(L47:AR47)</f>
        <v>7500</v>
      </c>
      <c r="L47" s="115">
        <f>SUMIFS('Invoices - Preopening'!$I$20:$I$299,'Invoices - Preopening'!$H$20:$H$299,"&gt;="&amp;L$6,'Invoices - Preopening'!$H$20:$H$299,"&lt;="&amp;L$7,'Invoices - Preopening'!$C$20:$C$299,'Model - Preopening &amp; Fees'!$B47)</f>
        <v>0</v>
      </c>
      <c r="M47" s="115">
        <f>SUMIFS('Invoices - Preopening'!$I$20:$I$299,'Invoices - Preopening'!$H$20:$H$299,"&gt;="&amp;M$6,'Invoices - Preopening'!$H$20:$H$299,"&lt;="&amp;M$7,'Invoices - Preopening'!$C$20:$C$299,'Model - Preopening &amp; Fees'!$B47)</f>
        <v>0</v>
      </c>
      <c r="N47" s="115">
        <f>SUMIFS('Invoices - Preopening'!$I$20:$I$299,'Invoices - Preopening'!$H$20:$H$299,"&gt;="&amp;N$6,'Invoices - Preopening'!$H$20:$H$299,"&lt;="&amp;N$7,'Invoices - Preopening'!$C$20:$C$299,'Model - Preopening &amp; Fees'!$B47)</f>
        <v>0</v>
      </c>
      <c r="O47" s="115">
        <f>SUMIFS('Invoices - Preopening'!$I$20:$I$299,'Invoices - Preopening'!$H$20:$H$299,"&gt;="&amp;O$6,'Invoices - Preopening'!$H$20:$H$299,"&lt;="&amp;O$7,'Invoices - Preopening'!$C$20:$C$299,'Model - Preopening &amp; Fees'!$B47)</f>
        <v>0</v>
      </c>
      <c r="P47" s="115">
        <f>SUMIFS('Invoices - Preopening'!$I$20:$I$299,'Invoices - Preopening'!$H$20:$H$299,"&gt;="&amp;P$6,'Invoices - Preopening'!$H$20:$H$299,"&lt;="&amp;P$7,'Invoices - Preopening'!$C$20:$C$299,'Model - Preopening &amp; Fees'!$B47)</f>
        <v>0</v>
      </c>
      <c r="Q47" s="115">
        <f>SUMIFS('Invoices - Preopening'!$I$20:$I$299,'Invoices - Preopening'!$H$20:$H$299,"&gt;="&amp;Q$6,'Invoices - Preopening'!$H$20:$H$299,"&lt;="&amp;Q$7,'Invoices - Preopening'!$C$20:$C$299,'Model - Preopening &amp; Fees'!$B47)</f>
        <v>0</v>
      </c>
      <c r="R47" s="115">
        <f>SUMIFS('Invoices - Preopening'!$I$20:$I$299,'Invoices - Preopening'!$H$20:$H$299,"&gt;="&amp;R$6,'Invoices - Preopening'!$H$20:$H$299,"&lt;="&amp;R$7,'Invoices - Preopening'!$C$20:$C$299,'Model - Preopening &amp; Fees'!$B47)</f>
        <v>0</v>
      </c>
      <c r="S47" s="115">
        <f>SUMIFS('Invoices - Preopening'!$I$20:$I$299,'Invoices - Preopening'!$H$20:$H$299,"&gt;="&amp;S$6,'Invoices - Preopening'!$H$20:$H$299,"&lt;="&amp;S$7,'Invoices - Preopening'!$C$20:$C$299,'Model - Preopening &amp; Fees'!$B47)</f>
        <v>0</v>
      </c>
      <c r="T47" s="115">
        <f>SUMIFS('Invoices - Preopening'!$I$20:$I$299,'Invoices - Preopening'!$H$20:$H$299,"&gt;="&amp;T$6,'Invoices - Preopening'!$H$20:$H$299,"&lt;="&amp;T$7,'Invoices - Preopening'!$C$20:$C$299,'Model - Preopening &amp; Fees'!$B47)</f>
        <v>0</v>
      </c>
      <c r="U47" s="115">
        <f>SUMIFS('Invoices - Preopening'!$I$20:$I$299,'Invoices - Preopening'!$H$20:$H$299,"&gt;="&amp;U$6,'Invoices - Preopening'!$H$20:$H$299,"&lt;="&amp;U$7,'Invoices - Preopening'!$C$20:$C$299,'Model - Preopening &amp; Fees'!$B47)</f>
        <v>0</v>
      </c>
      <c r="V47" s="115">
        <f>SUMIFS('Invoices - Preopening'!$I$20:$I$299,'Invoices - Preopening'!$H$20:$H$299,"&gt;="&amp;V$6,'Invoices - Preopening'!$H$20:$H$299,"&lt;="&amp;V$7,'Invoices - Preopening'!$C$20:$C$299,'Model - Preopening &amp; Fees'!$B47)</f>
        <v>0</v>
      </c>
      <c r="W47" s="115">
        <f>SUMIFS('Invoices - Preopening'!$I$20:$I$299,'Invoices - Preopening'!$H$20:$H$299,"&gt;="&amp;W$6,'Invoices - Preopening'!$H$20:$H$299,"&lt;="&amp;W$7,'Invoices - Preopening'!$C$20:$C$299,'Model - Preopening &amp; Fees'!$B47)</f>
        <v>0</v>
      </c>
      <c r="X47" s="115">
        <f>SUMIFS('Invoices - Preopening'!$I$20:$I$299,'Invoices - Preopening'!$H$20:$H$299,"&gt;="&amp;X$6,'Invoices - Preopening'!$H$20:$H$299,"&lt;="&amp;X$7,'Invoices - Preopening'!$C$20:$C$299,'Model - Preopening &amp; Fees'!$B47)</f>
        <v>0</v>
      </c>
      <c r="Y47" s="115">
        <f>SUMIFS('Invoices - Preopening'!$I$20:$I$299,'Invoices - Preopening'!$H$20:$H$299,"&gt;="&amp;Y$6,'Invoices - Preopening'!$H$20:$H$299,"&lt;="&amp;Y$7,'Invoices - Preopening'!$C$20:$C$299,'Model - Preopening &amp; Fees'!$B47)</f>
        <v>0</v>
      </c>
      <c r="Z47" s="115">
        <f>SUMIFS('Invoices - Preopening'!$I$20:$I$299,'Invoices - Preopening'!$H$20:$H$299,"&gt;="&amp;Z$6,'Invoices - Preopening'!$H$20:$H$299,"&lt;="&amp;Z$7,'Invoices - Preopening'!$C$20:$C$299,'Model - Preopening &amp; Fees'!$B47)</f>
        <v>0</v>
      </c>
      <c r="AA47" s="115">
        <f>SUMIFS('Invoices - Preopening'!$I$20:$I$299,'Invoices - Preopening'!$H$20:$H$299,"&gt;="&amp;AA$6,'Invoices - Preopening'!$H$20:$H$299,"&lt;="&amp;AA$7,'Invoices - Preopening'!$C$20:$C$299,'Model - Preopening &amp; Fees'!$B47)</f>
        <v>0</v>
      </c>
      <c r="AB47" s="115">
        <f>SUMIFS('Invoices - Preopening'!$I$20:$I$299,'Invoices - Preopening'!$H$20:$H$299,"&gt;="&amp;AB$6,'Invoices - Preopening'!$H$20:$H$299,"&lt;="&amp;AB$7,'Invoices - Preopening'!$C$20:$C$299,'Model - Preopening &amp; Fees'!$B47)</f>
        <v>0</v>
      </c>
      <c r="AC47" s="115">
        <f>SUMIFS('Invoices - Preopening'!$I$20:$I$299,'Invoices - Preopening'!$H$20:$H$299,"&gt;="&amp;AC$6,'Invoices - Preopening'!$H$20:$H$299,"&lt;="&amp;AC$7,'Invoices - Preopening'!$C$20:$C$299,'Model - Preopening &amp; Fees'!$B47)</f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3750</v>
      </c>
      <c r="AM47" s="9">
        <v>3750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T47" s="24">
        <f t="shared" ref="AT47:BD51" si="45">-SUMIFS($L47:$AR47,$L$5:$AR$5,AT$5)</f>
        <v>0</v>
      </c>
      <c r="AU47" s="24">
        <f t="shared" si="45"/>
        <v>0</v>
      </c>
      <c r="AV47" s="24">
        <f t="shared" si="45"/>
        <v>0</v>
      </c>
      <c r="AW47" s="24">
        <f t="shared" si="45"/>
        <v>0</v>
      </c>
      <c r="AX47" s="24">
        <f t="shared" si="45"/>
        <v>0</v>
      </c>
      <c r="AY47" s="1">
        <f t="shared" si="45"/>
        <v>0</v>
      </c>
      <c r="AZ47" s="1">
        <f t="shared" si="45"/>
        <v>0</v>
      </c>
      <c r="BA47" s="1">
        <f t="shared" si="45"/>
        <v>0</v>
      </c>
      <c r="BB47" s="1">
        <f t="shared" si="45"/>
        <v>-3750</v>
      </c>
      <c r="BC47" s="1">
        <f t="shared" si="45"/>
        <v>-3750</v>
      </c>
      <c r="BD47" s="1">
        <f t="shared" si="45"/>
        <v>0</v>
      </c>
      <c r="BF47" s="1">
        <f t="shared" ref="BF47:BF48" si="46">SUM(AT47:BD47)</f>
        <v>-7500</v>
      </c>
    </row>
    <row r="48" spans="1:58" x14ac:dyDescent="0.25">
      <c r="A48">
        <v>1</v>
      </c>
      <c r="B48" s="21" t="s">
        <v>247</v>
      </c>
      <c r="C48" s="21"/>
      <c r="D48" s="2" t="s">
        <v>119</v>
      </c>
      <c r="E48" s="2" t="s">
        <v>126</v>
      </c>
      <c r="F48" s="9">
        <v>5000</v>
      </c>
      <c r="G48" s="59">
        <f>SUMIFS($L48:$AR48,$L$7:$AR$7,"&lt;="&amp;$J$4)</f>
        <v>0</v>
      </c>
      <c r="H48" s="59">
        <f t="shared" si="43"/>
        <v>5000</v>
      </c>
      <c r="J48" s="1">
        <f t="shared" si="44"/>
        <v>5000</v>
      </c>
      <c r="L48" s="115">
        <f>SUMIFS('Invoices - Preopening'!$I$20:$I$299,'Invoices - Preopening'!$H$20:$H$299,"&gt;="&amp;L$6,'Invoices - Preopening'!$H$20:$H$299,"&lt;="&amp;L$7,'Invoices - Preopening'!$C$20:$C$299,'Model - Preopening &amp; Fees'!$B48)</f>
        <v>0</v>
      </c>
      <c r="M48" s="115">
        <f>SUMIFS('Invoices - Preopening'!$I$20:$I$299,'Invoices - Preopening'!$H$20:$H$299,"&gt;="&amp;M$6,'Invoices - Preopening'!$H$20:$H$299,"&lt;="&amp;M$7,'Invoices - Preopening'!$C$20:$C$299,'Model - Preopening &amp; Fees'!$B48)</f>
        <v>0</v>
      </c>
      <c r="N48" s="115">
        <f>SUMIFS('Invoices - Preopening'!$I$20:$I$299,'Invoices - Preopening'!$H$20:$H$299,"&gt;="&amp;N$6,'Invoices - Preopening'!$H$20:$H$299,"&lt;="&amp;N$7,'Invoices - Preopening'!$C$20:$C$299,'Model - Preopening &amp; Fees'!$B48)</f>
        <v>0</v>
      </c>
      <c r="O48" s="115">
        <f>SUMIFS('Invoices - Preopening'!$I$20:$I$299,'Invoices - Preopening'!$H$20:$H$299,"&gt;="&amp;O$6,'Invoices - Preopening'!$H$20:$H$299,"&lt;="&amp;O$7,'Invoices - Preopening'!$C$20:$C$299,'Model - Preopening &amp; Fees'!$B48)</f>
        <v>0</v>
      </c>
      <c r="P48" s="115">
        <f>SUMIFS('Invoices - Preopening'!$I$20:$I$299,'Invoices - Preopening'!$H$20:$H$299,"&gt;="&amp;P$6,'Invoices - Preopening'!$H$20:$H$299,"&lt;="&amp;P$7,'Invoices - Preopening'!$C$20:$C$299,'Model - Preopening &amp; Fees'!$B48)</f>
        <v>0</v>
      </c>
      <c r="Q48" s="115">
        <f>SUMIFS('Invoices - Preopening'!$I$20:$I$299,'Invoices - Preopening'!$H$20:$H$299,"&gt;="&amp;Q$6,'Invoices - Preopening'!$H$20:$H$299,"&lt;="&amp;Q$7,'Invoices - Preopening'!$C$20:$C$299,'Model - Preopening &amp; Fees'!$B48)</f>
        <v>0</v>
      </c>
      <c r="R48" s="115">
        <f>SUMIFS('Invoices - Preopening'!$I$20:$I$299,'Invoices - Preopening'!$H$20:$H$299,"&gt;="&amp;R$6,'Invoices - Preopening'!$H$20:$H$299,"&lt;="&amp;R$7,'Invoices - Preopening'!$C$20:$C$299,'Model - Preopening &amp; Fees'!$B48)</f>
        <v>0</v>
      </c>
      <c r="S48" s="115">
        <f>SUMIFS('Invoices - Preopening'!$I$20:$I$299,'Invoices - Preopening'!$H$20:$H$299,"&gt;="&amp;S$6,'Invoices - Preopening'!$H$20:$H$299,"&lt;="&amp;S$7,'Invoices - Preopening'!$C$20:$C$299,'Model - Preopening &amp; Fees'!$B48)</f>
        <v>0</v>
      </c>
      <c r="T48" s="115">
        <f>SUMIFS('Invoices - Preopening'!$I$20:$I$299,'Invoices - Preopening'!$H$20:$H$299,"&gt;="&amp;T$6,'Invoices - Preopening'!$H$20:$H$299,"&lt;="&amp;T$7,'Invoices - Preopening'!$C$20:$C$299,'Model - Preopening &amp; Fees'!$B48)</f>
        <v>0</v>
      </c>
      <c r="U48" s="115">
        <f>SUMIFS('Invoices - Preopening'!$I$20:$I$299,'Invoices - Preopening'!$H$20:$H$299,"&gt;="&amp;U$6,'Invoices - Preopening'!$H$20:$H$299,"&lt;="&amp;U$7,'Invoices - Preopening'!$C$20:$C$299,'Model - Preopening &amp; Fees'!$B48)</f>
        <v>0</v>
      </c>
      <c r="V48" s="115">
        <f>SUMIFS('Invoices - Preopening'!$I$20:$I$299,'Invoices - Preopening'!$H$20:$H$299,"&gt;="&amp;V$6,'Invoices - Preopening'!$H$20:$H$299,"&lt;="&amp;V$7,'Invoices - Preopening'!$C$20:$C$299,'Model - Preopening &amp; Fees'!$B48)</f>
        <v>0</v>
      </c>
      <c r="W48" s="115">
        <f>SUMIFS('Invoices - Preopening'!$I$20:$I$299,'Invoices - Preopening'!$H$20:$H$299,"&gt;="&amp;W$6,'Invoices - Preopening'!$H$20:$H$299,"&lt;="&amp;W$7,'Invoices - Preopening'!$C$20:$C$299,'Model - Preopening &amp; Fees'!$B48)</f>
        <v>0</v>
      </c>
      <c r="X48" s="115">
        <f>SUMIFS('Invoices - Preopening'!$I$20:$I$299,'Invoices - Preopening'!$H$20:$H$299,"&gt;="&amp;X$6,'Invoices - Preopening'!$H$20:$H$299,"&lt;="&amp;X$7,'Invoices - Preopening'!$C$20:$C$299,'Model - Preopening &amp; Fees'!$B48)</f>
        <v>0</v>
      </c>
      <c r="Y48" s="115">
        <f>SUMIFS('Invoices - Preopening'!$I$20:$I$299,'Invoices - Preopening'!$H$20:$H$299,"&gt;="&amp;Y$6,'Invoices - Preopening'!$H$20:$H$299,"&lt;="&amp;Y$7,'Invoices - Preopening'!$C$20:$C$299,'Model - Preopening &amp; Fees'!$B48)</f>
        <v>0</v>
      </c>
      <c r="Z48" s="115">
        <f>SUMIFS('Invoices - Preopening'!$I$20:$I$299,'Invoices - Preopening'!$H$20:$H$299,"&gt;="&amp;Z$6,'Invoices - Preopening'!$H$20:$H$299,"&lt;="&amp;Z$7,'Invoices - Preopening'!$C$20:$C$299,'Model - Preopening &amp; Fees'!$B48)</f>
        <v>0</v>
      </c>
      <c r="AA48" s="115">
        <f>SUMIFS('Invoices - Preopening'!$I$20:$I$299,'Invoices - Preopening'!$H$20:$H$299,"&gt;="&amp;AA$6,'Invoices - Preopening'!$H$20:$H$299,"&lt;="&amp;AA$7,'Invoices - Preopening'!$C$20:$C$299,'Model - Preopening &amp; Fees'!$B48)</f>
        <v>0</v>
      </c>
      <c r="AB48" s="115">
        <f>SUMIFS('Invoices - Preopening'!$I$20:$I$299,'Invoices - Preopening'!$H$20:$H$299,"&gt;="&amp;AB$6,'Invoices - Preopening'!$H$20:$H$299,"&lt;="&amp;AB$7,'Invoices - Preopening'!$C$20:$C$299,'Model - Preopening &amp; Fees'!$B48)</f>
        <v>0</v>
      </c>
      <c r="AC48" s="115">
        <f>SUMIFS('Invoices - Preopening'!$I$20:$I$299,'Invoices - Preopening'!$H$20:$H$299,"&gt;="&amp;AC$6,'Invoices - Preopening'!$H$20:$H$299,"&lt;="&amp;AC$7,'Invoices - Preopening'!$C$20:$C$299,'Model - Preopening &amp; Fees'!$B48)</f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5000</v>
      </c>
      <c r="AN48" s="9"/>
      <c r="AO48" s="9">
        <v>0</v>
      </c>
      <c r="AP48" s="9">
        <v>0</v>
      </c>
      <c r="AQ48" s="9">
        <v>0</v>
      </c>
      <c r="AR48" s="9">
        <v>0</v>
      </c>
      <c r="AT48" s="24">
        <f t="shared" si="45"/>
        <v>0</v>
      </c>
      <c r="AU48" s="24">
        <f t="shared" si="45"/>
        <v>0</v>
      </c>
      <c r="AV48" s="24">
        <f t="shared" si="45"/>
        <v>0</v>
      </c>
      <c r="AW48" s="24">
        <f t="shared" si="45"/>
        <v>0</v>
      </c>
      <c r="AX48" s="24">
        <f t="shared" si="45"/>
        <v>0</v>
      </c>
      <c r="AY48" s="1">
        <f t="shared" si="45"/>
        <v>0</v>
      </c>
      <c r="AZ48" s="1">
        <f t="shared" si="45"/>
        <v>0</v>
      </c>
      <c r="BA48" s="1">
        <f t="shared" si="45"/>
        <v>0</v>
      </c>
      <c r="BB48" s="1">
        <f t="shared" si="45"/>
        <v>0</v>
      </c>
      <c r="BC48" s="1">
        <f t="shared" si="45"/>
        <v>-5000</v>
      </c>
      <c r="BD48" s="1">
        <f t="shared" si="45"/>
        <v>0</v>
      </c>
      <c r="BF48" s="1">
        <f t="shared" si="46"/>
        <v>-5000</v>
      </c>
    </row>
    <row r="49" spans="1:58" x14ac:dyDescent="0.25">
      <c r="A49">
        <v>1</v>
      </c>
      <c r="B49" s="21" t="s">
        <v>248</v>
      </c>
      <c r="C49" s="21"/>
      <c r="D49" s="2" t="s">
        <v>119</v>
      </c>
      <c r="E49" s="2" t="s">
        <v>126</v>
      </c>
      <c r="F49" s="9">
        <v>2000</v>
      </c>
      <c r="G49" s="59">
        <f t="shared" ref="G49:G51" si="47">SUMIFS($L49:$AR49,$L$7:$AR$7,"&lt;="&amp;$J$4)</f>
        <v>0</v>
      </c>
      <c r="H49" s="59">
        <f t="shared" si="43"/>
        <v>2000</v>
      </c>
      <c r="J49" s="1">
        <f t="shared" si="44"/>
        <v>2000</v>
      </c>
      <c r="L49" s="115">
        <f>SUMIFS('Invoices - Preopening'!$I$20:$I$299,'Invoices - Preopening'!$H$20:$H$299,"&gt;="&amp;L$6,'Invoices - Preopening'!$H$20:$H$299,"&lt;="&amp;L$7,'Invoices - Preopening'!$C$20:$C$299,'Model - Preopening &amp; Fees'!$B49)</f>
        <v>0</v>
      </c>
      <c r="M49" s="115">
        <f>SUMIFS('Invoices - Preopening'!$I$20:$I$299,'Invoices - Preopening'!$H$20:$H$299,"&gt;="&amp;M$6,'Invoices - Preopening'!$H$20:$H$299,"&lt;="&amp;M$7,'Invoices - Preopening'!$C$20:$C$299,'Model - Preopening &amp; Fees'!$B49)</f>
        <v>0</v>
      </c>
      <c r="N49" s="115">
        <f>SUMIFS('Invoices - Preopening'!$I$20:$I$299,'Invoices - Preopening'!$H$20:$H$299,"&gt;="&amp;N$6,'Invoices - Preopening'!$H$20:$H$299,"&lt;="&amp;N$7,'Invoices - Preopening'!$C$20:$C$299,'Model - Preopening &amp; Fees'!$B49)</f>
        <v>0</v>
      </c>
      <c r="O49" s="115">
        <f>SUMIFS('Invoices - Preopening'!$I$20:$I$299,'Invoices - Preopening'!$H$20:$H$299,"&gt;="&amp;O$6,'Invoices - Preopening'!$H$20:$H$299,"&lt;="&amp;O$7,'Invoices - Preopening'!$C$20:$C$299,'Model - Preopening &amp; Fees'!$B49)</f>
        <v>0</v>
      </c>
      <c r="P49" s="115">
        <f>SUMIFS('Invoices - Preopening'!$I$20:$I$299,'Invoices - Preopening'!$H$20:$H$299,"&gt;="&amp;P$6,'Invoices - Preopening'!$H$20:$H$299,"&lt;="&amp;P$7,'Invoices - Preopening'!$C$20:$C$299,'Model - Preopening &amp; Fees'!$B49)</f>
        <v>0</v>
      </c>
      <c r="Q49" s="115">
        <f>SUMIFS('Invoices - Preopening'!$I$20:$I$299,'Invoices - Preopening'!$H$20:$H$299,"&gt;="&amp;Q$6,'Invoices - Preopening'!$H$20:$H$299,"&lt;="&amp;Q$7,'Invoices - Preopening'!$C$20:$C$299,'Model - Preopening &amp; Fees'!$B49)</f>
        <v>0</v>
      </c>
      <c r="R49" s="115">
        <f>SUMIFS('Invoices - Preopening'!$I$20:$I$299,'Invoices - Preopening'!$H$20:$H$299,"&gt;="&amp;R$6,'Invoices - Preopening'!$H$20:$H$299,"&lt;="&amp;R$7,'Invoices - Preopening'!$C$20:$C$299,'Model - Preopening &amp; Fees'!$B49)</f>
        <v>0</v>
      </c>
      <c r="S49" s="115">
        <f>SUMIFS('Invoices - Preopening'!$I$20:$I$299,'Invoices - Preopening'!$H$20:$H$299,"&gt;="&amp;S$6,'Invoices - Preopening'!$H$20:$H$299,"&lt;="&amp;S$7,'Invoices - Preopening'!$C$20:$C$299,'Model - Preopening &amp; Fees'!$B49)</f>
        <v>0</v>
      </c>
      <c r="T49" s="115">
        <f>SUMIFS('Invoices - Preopening'!$I$20:$I$299,'Invoices - Preopening'!$H$20:$H$299,"&gt;="&amp;T$6,'Invoices - Preopening'!$H$20:$H$299,"&lt;="&amp;T$7,'Invoices - Preopening'!$C$20:$C$299,'Model - Preopening &amp; Fees'!$B49)</f>
        <v>0</v>
      </c>
      <c r="U49" s="115">
        <f>SUMIFS('Invoices - Preopening'!$I$20:$I$299,'Invoices - Preopening'!$H$20:$H$299,"&gt;="&amp;U$6,'Invoices - Preopening'!$H$20:$H$299,"&lt;="&amp;U$7,'Invoices - Preopening'!$C$20:$C$299,'Model - Preopening &amp; Fees'!$B49)</f>
        <v>0</v>
      </c>
      <c r="V49" s="115">
        <f>SUMIFS('Invoices - Preopening'!$I$20:$I$299,'Invoices - Preopening'!$H$20:$H$299,"&gt;="&amp;V$6,'Invoices - Preopening'!$H$20:$H$299,"&lt;="&amp;V$7,'Invoices - Preopening'!$C$20:$C$299,'Model - Preopening &amp; Fees'!$B49)</f>
        <v>0</v>
      </c>
      <c r="W49" s="115">
        <f>SUMIFS('Invoices - Preopening'!$I$20:$I$299,'Invoices - Preopening'!$H$20:$H$299,"&gt;="&amp;W$6,'Invoices - Preopening'!$H$20:$H$299,"&lt;="&amp;W$7,'Invoices - Preopening'!$C$20:$C$299,'Model - Preopening &amp; Fees'!$B49)</f>
        <v>0</v>
      </c>
      <c r="X49" s="115">
        <f>SUMIFS('Invoices - Preopening'!$I$20:$I$299,'Invoices - Preopening'!$H$20:$H$299,"&gt;="&amp;X$6,'Invoices - Preopening'!$H$20:$H$299,"&lt;="&amp;X$7,'Invoices - Preopening'!$C$20:$C$299,'Model - Preopening &amp; Fees'!$B49)</f>
        <v>0</v>
      </c>
      <c r="Y49" s="115">
        <f>SUMIFS('Invoices - Preopening'!$I$20:$I$299,'Invoices - Preopening'!$H$20:$H$299,"&gt;="&amp;Y$6,'Invoices - Preopening'!$H$20:$H$299,"&lt;="&amp;Y$7,'Invoices - Preopening'!$C$20:$C$299,'Model - Preopening &amp; Fees'!$B49)</f>
        <v>0</v>
      </c>
      <c r="Z49" s="115">
        <f>SUMIFS('Invoices - Preopening'!$I$20:$I$299,'Invoices - Preopening'!$H$20:$H$299,"&gt;="&amp;Z$6,'Invoices - Preopening'!$H$20:$H$299,"&lt;="&amp;Z$7,'Invoices - Preopening'!$C$20:$C$299,'Model - Preopening &amp; Fees'!$B49)</f>
        <v>0</v>
      </c>
      <c r="AA49" s="115">
        <f>SUMIFS('Invoices - Preopening'!$I$20:$I$299,'Invoices - Preopening'!$H$20:$H$299,"&gt;="&amp;AA$6,'Invoices - Preopening'!$H$20:$H$299,"&lt;="&amp;AA$7,'Invoices - Preopening'!$C$20:$C$299,'Model - Preopening &amp; Fees'!$B49)</f>
        <v>0</v>
      </c>
      <c r="AB49" s="115">
        <f>SUMIFS('Invoices - Preopening'!$I$20:$I$299,'Invoices - Preopening'!$H$20:$H$299,"&gt;="&amp;AB$6,'Invoices - Preopening'!$H$20:$H$299,"&lt;="&amp;AB$7,'Invoices - Preopening'!$C$20:$C$299,'Model - Preopening &amp; Fees'!$B49)</f>
        <v>0</v>
      </c>
      <c r="AC49" s="115">
        <f>SUMIFS('Invoices - Preopening'!$I$20:$I$299,'Invoices - Preopening'!$H$20:$H$299,"&gt;="&amp;AC$6,'Invoices - Preopening'!$H$20:$H$299,"&lt;="&amp;AC$7,'Invoices - Preopening'!$C$20:$C$299,'Model - Preopening &amp; Fees'!$B49)</f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2000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T49" s="24">
        <f t="shared" si="45"/>
        <v>0</v>
      </c>
      <c r="AU49" s="24">
        <f t="shared" si="45"/>
        <v>0</v>
      </c>
      <c r="AV49" s="24">
        <f t="shared" si="45"/>
        <v>0</v>
      </c>
      <c r="AW49" s="24">
        <f t="shared" si="45"/>
        <v>0</v>
      </c>
      <c r="AX49" s="24">
        <f t="shared" si="45"/>
        <v>0</v>
      </c>
      <c r="AY49" s="1">
        <f t="shared" si="45"/>
        <v>0</v>
      </c>
      <c r="AZ49" s="1">
        <f t="shared" si="45"/>
        <v>0</v>
      </c>
      <c r="BA49" s="1">
        <f t="shared" si="45"/>
        <v>0</v>
      </c>
      <c r="BB49" s="1">
        <f t="shared" si="45"/>
        <v>0</v>
      </c>
      <c r="BC49" s="1">
        <f t="shared" si="45"/>
        <v>-2000</v>
      </c>
      <c r="BD49" s="1">
        <f t="shared" si="45"/>
        <v>0</v>
      </c>
      <c r="BF49" s="1">
        <f t="shared" ref="BF49" si="48">SUM(AT49:BD49)</f>
        <v>-2000</v>
      </c>
    </row>
    <row r="50" spans="1:58" x14ac:dyDescent="0.25">
      <c r="A50">
        <v>1</v>
      </c>
      <c r="B50" s="21" t="s">
        <v>141</v>
      </c>
      <c r="C50" s="21"/>
      <c r="D50" s="2" t="s">
        <v>119</v>
      </c>
      <c r="E50" s="2" t="s">
        <v>126</v>
      </c>
      <c r="F50" s="9">
        <v>5000</v>
      </c>
      <c r="G50" s="59">
        <f t="shared" si="47"/>
        <v>0</v>
      </c>
      <c r="H50" s="59">
        <f t="shared" si="43"/>
        <v>5000</v>
      </c>
      <c r="J50" s="1">
        <f t="shared" ref="J50:J51" si="49">SUM(L50:AR50)</f>
        <v>5000</v>
      </c>
      <c r="L50" s="115">
        <f>SUMIFS('Invoices - Preopening'!$I$20:$I$299,'Invoices - Preopening'!$H$20:$H$299,"&gt;="&amp;L$6,'Invoices - Preopening'!$H$20:$H$299,"&lt;="&amp;L$7,'Invoices - Preopening'!$C$20:$C$299,'Model - Preopening &amp; Fees'!$B50)</f>
        <v>0</v>
      </c>
      <c r="M50" s="115">
        <f>SUMIFS('Invoices - Preopening'!$I$20:$I$299,'Invoices - Preopening'!$H$20:$H$299,"&gt;="&amp;M$6,'Invoices - Preopening'!$H$20:$H$299,"&lt;="&amp;M$7,'Invoices - Preopening'!$C$20:$C$299,'Model - Preopening &amp; Fees'!$B50)</f>
        <v>0</v>
      </c>
      <c r="N50" s="115">
        <f>SUMIFS('Invoices - Preopening'!$I$20:$I$299,'Invoices - Preopening'!$H$20:$H$299,"&gt;="&amp;N$6,'Invoices - Preopening'!$H$20:$H$299,"&lt;="&amp;N$7,'Invoices - Preopening'!$C$20:$C$299,'Model - Preopening &amp; Fees'!$B50)</f>
        <v>0</v>
      </c>
      <c r="O50" s="115">
        <f>SUMIFS('Invoices - Preopening'!$I$20:$I$299,'Invoices - Preopening'!$H$20:$H$299,"&gt;="&amp;O$6,'Invoices - Preopening'!$H$20:$H$299,"&lt;="&amp;O$7,'Invoices - Preopening'!$C$20:$C$299,'Model - Preopening &amp; Fees'!$B50)</f>
        <v>0</v>
      </c>
      <c r="P50" s="115">
        <f>SUMIFS('Invoices - Preopening'!$I$20:$I$299,'Invoices - Preopening'!$H$20:$H$299,"&gt;="&amp;P$6,'Invoices - Preopening'!$H$20:$H$299,"&lt;="&amp;P$7,'Invoices - Preopening'!$C$20:$C$299,'Model - Preopening &amp; Fees'!$B50)</f>
        <v>0</v>
      </c>
      <c r="Q50" s="115">
        <f>SUMIFS('Invoices - Preopening'!$I$20:$I$299,'Invoices - Preopening'!$H$20:$H$299,"&gt;="&amp;Q$6,'Invoices - Preopening'!$H$20:$H$299,"&lt;="&amp;Q$7,'Invoices - Preopening'!$C$20:$C$299,'Model - Preopening &amp; Fees'!$B50)</f>
        <v>0</v>
      </c>
      <c r="R50" s="115">
        <f>SUMIFS('Invoices - Preopening'!$I$20:$I$299,'Invoices - Preopening'!$H$20:$H$299,"&gt;="&amp;R$6,'Invoices - Preopening'!$H$20:$H$299,"&lt;="&amp;R$7,'Invoices - Preopening'!$C$20:$C$299,'Model - Preopening &amp; Fees'!$B50)</f>
        <v>0</v>
      </c>
      <c r="S50" s="115">
        <f>SUMIFS('Invoices - Preopening'!$I$20:$I$299,'Invoices - Preopening'!$H$20:$H$299,"&gt;="&amp;S$6,'Invoices - Preopening'!$H$20:$H$299,"&lt;="&amp;S$7,'Invoices - Preopening'!$C$20:$C$299,'Model - Preopening &amp; Fees'!$B50)</f>
        <v>0</v>
      </c>
      <c r="T50" s="115">
        <f>SUMIFS('Invoices - Preopening'!$I$20:$I$299,'Invoices - Preopening'!$H$20:$H$299,"&gt;="&amp;T$6,'Invoices - Preopening'!$H$20:$H$299,"&lt;="&amp;T$7,'Invoices - Preopening'!$C$20:$C$299,'Model - Preopening &amp; Fees'!$B50)</f>
        <v>0</v>
      </c>
      <c r="U50" s="115">
        <f>SUMIFS('Invoices - Preopening'!$I$20:$I$299,'Invoices - Preopening'!$H$20:$H$299,"&gt;="&amp;U$6,'Invoices - Preopening'!$H$20:$H$299,"&lt;="&amp;U$7,'Invoices - Preopening'!$C$20:$C$299,'Model - Preopening &amp; Fees'!$B50)</f>
        <v>0</v>
      </c>
      <c r="V50" s="115">
        <f>SUMIFS('Invoices - Preopening'!$I$20:$I$299,'Invoices - Preopening'!$H$20:$H$299,"&gt;="&amp;V$6,'Invoices - Preopening'!$H$20:$H$299,"&lt;="&amp;V$7,'Invoices - Preopening'!$C$20:$C$299,'Model - Preopening &amp; Fees'!$B50)</f>
        <v>0</v>
      </c>
      <c r="W50" s="115">
        <f>SUMIFS('Invoices - Preopening'!$I$20:$I$299,'Invoices - Preopening'!$H$20:$H$299,"&gt;="&amp;W$6,'Invoices - Preopening'!$H$20:$H$299,"&lt;="&amp;W$7,'Invoices - Preopening'!$C$20:$C$299,'Model - Preopening &amp; Fees'!$B50)</f>
        <v>0</v>
      </c>
      <c r="X50" s="115">
        <f>SUMIFS('Invoices - Preopening'!$I$20:$I$299,'Invoices - Preopening'!$H$20:$H$299,"&gt;="&amp;X$6,'Invoices - Preopening'!$H$20:$H$299,"&lt;="&amp;X$7,'Invoices - Preopening'!$C$20:$C$299,'Model - Preopening &amp; Fees'!$B50)</f>
        <v>0</v>
      </c>
      <c r="Y50" s="115">
        <f>SUMIFS('Invoices - Preopening'!$I$20:$I$299,'Invoices - Preopening'!$H$20:$H$299,"&gt;="&amp;Y$6,'Invoices - Preopening'!$H$20:$H$299,"&lt;="&amp;Y$7,'Invoices - Preopening'!$C$20:$C$299,'Model - Preopening &amp; Fees'!$B50)</f>
        <v>0</v>
      </c>
      <c r="Z50" s="115">
        <f>SUMIFS('Invoices - Preopening'!$I$20:$I$299,'Invoices - Preopening'!$H$20:$H$299,"&gt;="&amp;Z$6,'Invoices - Preopening'!$H$20:$H$299,"&lt;="&amp;Z$7,'Invoices - Preopening'!$C$20:$C$299,'Model - Preopening &amp; Fees'!$B50)</f>
        <v>0</v>
      </c>
      <c r="AA50" s="115">
        <f>SUMIFS('Invoices - Preopening'!$I$20:$I$299,'Invoices - Preopening'!$H$20:$H$299,"&gt;="&amp;AA$6,'Invoices - Preopening'!$H$20:$H$299,"&lt;="&amp;AA$7,'Invoices - Preopening'!$C$20:$C$299,'Model - Preopening &amp; Fees'!$B50)</f>
        <v>0</v>
      </c>
      <c r="AB50" s="115">
        <f>SUMIFS('Invoices - Preopening'!$I$20:$I$299,'Invoices - Preopening'!$H$20:$H$299,"&gt;="&amp;AB$6,'Invoices - Preopening'!$H$20:$H$299,"&lt;="&amp;AB$7,'Invoices - Preopening'!$C$20:$C$299,'Model - Preopening &amp; Fees'!$B50)</f>
        <v>0</v>
      </c>
      <c r="AC50" s="115">
        <f>SUMIFS('Invoices - Preopening'!$I$20:$I$299,'Invoices - Preopening'!$H$20:$H$299,"&gt;="&amp;AC$6,'Invoices - Preopening'!$H$20:$H$299,"&lt;="&amp;AC$7,'Invoices - Preopening'!$C$20:$C$299,'Model - Preopening &amp; Fees'!$B50)</f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2500</v>
      </c>
      <c r="AK50" s="9">
        <v>0</v>
      </c>
      <c r="AL50" s="9">
        <v>0</v>
      </c>
      <c r="AM50" s="9">
        <v>2500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T50" s="24">
        <f t="shared" si="45"/>
        <v>0</v>
      </c>
      <c r="AU50" s="24">
        <f t="shared" si="45"/>
        <v>0</v>
      </c>
      <c r="AV50" s="24">
        <f t="shared" si="45"/>
        <v>0</v>
      </c>
      <c r="AW50" s="24">
        <f t="shared" si="45"/>
        <v>0</v>
      </c>
      <c r="AX50" s="24">
        <f t="shared" si="45"/>
        <v>0</v>
      </c>
      <c r="AY50" s="1">
        <f t="shared" si="45"/>
        <v>0</v>
      </c>
      <c r="AZ50" s="1">
        <f t="shared" si="45"/>
        <v>0</v>
      </c>
      <c r="BA50" s="1">
        <f t="shared" si="45"/>
        <v>0</v>
      </c>
      <c r="BB50" s="1">
        <f t="shared" si="45"/>
        <v>-2500</v>
      </c>
      <c r="BC50" s="1">
        <f t="shared" si="45"/>
        <v>-2500</v>
      </c>
      <c r="BD50" s="1">
        <f t="shared" si="45"/>
        <v>0</v>
      </c>
      <c r="BF50" s="1">
        <f t="shared" ref="BF50" si="50">SUM(AT50:BD50)</f>
        <v>-5000</v>
      </c>
    </row>
    <row r="51" spans="1:58" x14ac:dyDescent="0.25">
      <c r="A51">
        <v>1</v>
      </c>
      <c r="B51" s="22" t="s">
        <v>249</v>
      </c>
      <c r="C51" s="22"/>
      <c r="D51" s="54" t="s">
        <v>119</v>
      </c>
      <c r="E51" s="54" t="s">
        <v>126</v>
      </c>
      <c r="F51" s="55">
        <v>2000</v>
      </c>
      <c r="G51" s="60">
        <f t="shared" si="47"/>
        <v>0</v>
      </c>
      <c r="H51" s="60">
        <f t="shared" si="43"/>
        <v>2000</v>
      </c>
      <c r="J51" s="18">
        <f t="shared" si="49"/>
        <v>2000</v>
      </c>
      <c r="L51" s="116">
        <f>SUMIFS('Invoices - Preopening'!$I$20:$I$299,'Invoices - Preopening'!$H$20:$H$299,"&gt;="&amp;L$6,'Invoices - Preopening'!$H$20:$H$299,"&lt;="&amp;L$7,'Invoices - Preopening'!$C$20:$C$299,'Model - Preopening &amp; Fees'!$B51)</f>
        <v>0</v>
      </c>
      <c r="M51" s="116">
        <f>SUMIFS('Invoices - Preopening'!$I$20:$I$299,'Invoices - Preopening'!$H$20:$H$299,"&gt;="&amp;M$6,'Invoices - Preopening'!$H$20:$H$299,"&lt;="&amp;M$7,'Invoices - Preopening'!$C$20:$C$299,'Model - Preopening &amp; Fees'!$B51)</f>
        <v>0</v>
      </c>
      <c r="N51" s="116">
        <f>SUMIFS('Invoices - Preopening'!$I$20:$I$299,'Invoices - Preopening'!$H$20:$H$299,"&gt;="&amp;N$6,'Invoices - Preopening'!$H$20:$H$299,"&lt;="&amp;N$7,'Invoices - Preopening'!$C$20:$C$299,'Model - Preopening &amp; Fees'!$B51)</f>
        <v>0</v>
      </c>
      <c r="O51" s="116">
        <f>SUMIFS('Invoices - Preopening'!$I$20:$I$299,'Invoices - Preopening'!$H$20:$H$299,"&gt;="&amp;O$6,'Invoices - Preopening'!$H$20:$H$299,"&lt;="&amp;O$7,'Invoices - Preopening'!$C$20:$C$299,'Model - Preopening &amp; Fees'!$B51)</f>
        <v>0</v>
      </c>
      <c r="P51" s="116">
        <f>SUMIFS('Invoices - Preopening'!$I$20:$I$299,'Invoices - Preopening'!$H$20:$H$299,"&gt;="&amp;P$6,'Invoices - Preopening'!$H$20:$H$299,"&lt;="&amp;P$7,'Invoices - Preopening'!$C$20:$C$299,'Model - Preopening &amp; Fees'!$B51)</f>
        <v>0</v>
      </c>
      <c r="Q51" s="116">
        <f>SUMIFS('Invoices - Preopening'!$I$20:$I$299,'Invoices - Preopening'!$H$20:$H$299,"&gt;="&amp;Q$6,'Invoices - Preopening'!$H$20:$H$299,"&lt;="&amp;Q$7,'Invoices - Preopening'!$C$20:$C$299,'Model - Preopening &amp; Fees'!$B51)</f>
        <v>0</v>
      </c>
      <c r="R51" s="116">
        <f>SUMIFS('Invoices - Preopening'!$I$20:$I$299,'Invoices - Preopening'!$H$20:$H$299,"&gt;="&amp;R$6,'Invoices - Preopening'!$H$20:$H$299,"&lt;="&amp;R$7,'Invoices - Preopening'!$C$20:$C$299,'Model - Preopening &amp; Fees'!$B51)</f>
        <v>0</v>
      </c>
      <c r="S51" s="116">
        <f>SUMIFS('Invoices - Preopening'!$I$20:$I$299,'Invoices - Preopening'!$H$20:$H$299,"&gt;="&amp;S$6,'Invoices - Preopening'!$H$20:$H$299,"&lt;="&amp;S$7,'Invoices - Preopening'!$C$20:$C$299,'Model - Preopening &amp; Fees'!$B51)</f>
        <v>0</v>
      </c>
      <c r="T51" s="116">
        <f>SUMIFS('Invoices - Preopening'!$I$20:$I$299,'Invoices - Preopening'!$H$20:$H$299,"&gt;="&amp;T$6,'Invoices - Preopening'!$H$20:$H$299,"&lt;="&amp;T$7,'Invoices - Preopening'!$C$20:$C$299,'Model - Preopening &amp; Fees'!$B51)</f>
        <v>0</v>
      </c>
      <c r="U51" s="116">
        <f>SUMIFS('Invoices - Preopening'!$I$20:$I$299,'Invoices - Preopening'!$H$20:$H$299,"&gt;="&amp;U$6,'Invoices - Preopening'!$H$20:$H$299,"&lt;="&amp;U$7,'Invoices - Preopening'!$C$20:$C$299,'Model - Preopening &amp; Fees'!$B51)</f>
        <v>0</v>
      </c>
      <c r="V51" s="116">
        <f>SUMIFS('Invoices - Preopening'!$I$20:$I$299,'Invoices - Preopening'!$H$20:$H$299,"&gt;="&amp;V$6,'Invoices - Preopening'!$H$20:$H$299,"&lt;="&amp;V$7,'Invoices - Preopening'!$C$20:$C$299,'Model - Preopening &amp; Fees'!$B51)</f>
        <v>0</v>
      </c>
      <c r="W51" s="116">
        <f>SUMIFS('Invoices - Preopening'!$I$20:$I$299,'Invoices - Preopening'!$H$20:$H$299,"&gt;="&amp;W$6,'Invoices - Preopening'!$H$20:$H$299,"&lt;="&amp;W$7,'Invoices - Preopening'!$C$20:$C$299,'Model - Preopening &amp; Fees'!$B51)</f>
        <v>0</v>
      </c>
      <c r="X51" s="116">
        <f>SUMIFS('Invoices - Preopening'!$I$20:$I$299,'Invoices - Preopening'!$H$20:$H$299,"&gt;="&amp;X$6,'Invoices - Preopening'!$H$20:$H$299,"&lt;="&amp;X$7,'Invoices - Preopening'!$C$20:$C$299,'Model - Preopening &amp; Fees'!$B51)</f>
        <v>0</v>
      </c>
      <c r="Y51" s="116">
        <f>SUMIFS('Invoices - Preopening'!$I$20:$I$299,'Invoices - Preopening'!$H$20:$H$299,"&gt;="&amp;Y$6,'Invoices - Preopening'!$H$20:$H$299,"&lt;="&amp;Y$7,'Invoices - Preopening'!$C$20:$C$299,'Model - Preopening &amp; Fees'!$B51)</f>
        <v>0</v>
      </c>
      <c r="Z51" s="116">
        <f>SUMIFS('Invoices - Preopening'!$I$20:$I$299,'Invoices - Preopening'!$H$20:$H$299,"&gt;="&amp;Z$6,'Invoices - Preopening'!$H$20:$H$299,"&lt;="&amp;Z$7,'Invoices - Preopening'!$C$20:$C$299,'Model - Preopening &amp; Fees'!$B51)</f>
        <v>0</v>
      </c>
      <c r="AA51" s="116">
        <f>SUMIFS('Invoices - Preopening'!$I$20:$I$299,'Invoices - Preopening'!$H$20:$H$299,"&gt;="&amp;AA$6,'Invoices - Preopening'!$H$20:$H$299,"&lt;="&amp;AA$7,'Invoices - Preopening'!$C$20:$C$299,'Model - Preopening &amp; Fees'!$B51)</f>
        <v>0</v>
      </c>
      <c r="AB51" s="116">
        <f>SUMIFS('Invoices - Preopening'!$I$20:$I$299,'Invoices - Preopening'!$H$20:$H$299,"&gt;="&amp;AB$6,'Invoices - Preopening'!$H$20:$H$299,"&lt;="&amp;AB$7,'Invoices - Preopening'!$C$20:$C$299,'Model - Preopening &amp; Fees'!$B51)</f>
        <v>0</v>
      </c>
      <c r="AC51" s="116">
        <f>SUMIFS('Invoices - Preopening'!$I$20:$I$299,'Invoices - Preopening'!$H$20:$H$299,"&gt;="&amp;AC$6,'Invoices - Preopening'!$H$20:$H$299,"&lt;="&amp;AC$7,'Invoices - Preopening'!$C$20:$C$299,'Model - Preopening &amp; Fees'!$B51)</f>
        <v>0</v>
      </c>
      <c r="AD51" s="55">
        <v>0</v>
      </c>
      <c r="AE51" s="55">
        <v>0</v>
      </c>
      <c r="AF51" s="55">
        <v>0</v>
      </c>
      <c r="AG51" s="55">
        <v>0</v>
      </c>
      <c r="AH51" s="55">
        <v>0</v>
      </c>
      <c r="AI51" s="55">
        <v>0</v>
      </c>
      <c r="AJ51" s="55">
        <v>0</v>
      </c>
      <c r="AK51" s="55">
        <v>0</v>
      </c>
      <c r="AL51" s="55">
        <v>0</v>
      </c>
      <c r="AM51" s="55">
        <v>2000</v>
      </c>
      <c r="AN51" s="55">
        <v>0</v>
      </c>
      <c r="AO51" s="55">
        <v>0</v>
      </c>
      <c r="AP51" s="55">
        <v>0</v>
      </c>
      <c r="AQ51" s="55">
        <v>0</v>
      </c>
      <c r="AR51" s="55">
        <v>0</v>
      </c>
      <c r="AT51" s="24">
        <f t="shared" si="45"/>
        <v>0</v>
      </c>
      <c r="AU51" s="24">
        <f t="shared" si="45"/>
        <v>0</v>
      </c>
      <c r="AV51" s="24">
        <f t="shared" si="45"/>
        <v>0</v>
      </c>
      <c r="AW51" s="24">
        <f t="shared" si="45"/>
        <v>0</v>
      </c>
      <c r="AX51" s="24">
        <f t="shared" si="45"/>
        <v>0</v>
      </c>
      <c r="AY51" s="1">
        <f t="shared" si="45"/>
        <v>0</v>
      </c>
      <c r="AZ51" s="1">
        <f t="shared" si="45"/>
        <v>0</v>
      </c>
      <c r="BA51" s="1">
        <f t="shared" si="45"/>
        <v>0</v>
      </c>
      <c r="BB51" s="1">
        <f t="shared" si="45"/>
        <v>0</v>
      </c>
      <c r="BC51" s="1">
        <f t="shared" si="45"/>
        <v>-2000</v>
      </c>
      <c r="BD51" s="1">
        <f t="shared" si="45"/>
        <v>0</v>
      </c>
      <c r="BF51" s="1">
        <f t="shared" ref="BF51" si="51">SUM(AT51:BD51)</f>
        <v>-2000</v>
      </c>
    </row>
    <row r="52" spans="1:58" s="20" customFormat="1" x14ac:dyDescent="0.25">
      <c r="B52" s="20" t="s">
        <v>142</v>
      </c>
      <c r="F52" s="15">
        <f>SUM(F14:F51)</f>
        <v>180083</v>
      </c>
      <c r="G52" s="15">
        <f>SUM(G12:G48)</f>
        <v>1000</v>
      </c>
      <c r="H52" s="15">
        <f>SUM(H14:H51)</f>
        <v>150632</v>
      </c>
      <c r="I52" s="15"/>
      <c r="J52" s="15">
        <f>SUM(L52:AR52)</f>
        <v>151632</v>
      </c>
      <c r="L52" s="15">
        <f t="shared" ref="L52:BD52" si="52">SUM(L14:L51)</f>
        <v>0</v>
      </c>
      <c r="M52" s="15">
        <f t="shared" si="52"/>
        <v>0</v>
      </c>
      <c r="N52" s="15">
        <f t="shared" si="52"/>
        <v>0</v>
      </c>
      <c r="O52" s="15">
        <f t="shared" si="52"/>
        <v>0</v>
      </c>
      <c r="P52" s="15">
        <f t="shared" si="52"/>
        <v>0</v>
      </c>
      <c r="Q52" s="15">
        <f t="shared" si="52"/>
        <v>0</v>
      </c>
      <c r="R52" s="15">
        <f>SUM(R14:R51)</f>
        <v>0</v>
      </c>
      <c r="S52" s="15">
        <f t="shared" si="52"/>
        <v>0</v>
      </c>
      <c r="T52" s="15">
        <f t="shared" si="52"/>
        <v>0</v>
      </c>
      <c r="U52" s="15">
        <f t="shared" si="52"/>
        <v>0</v>
      </c>
      <c r="V52" s="15">
        <f t="shared" si="52"/>
        <v>0</v>
      </c>
      <c r="W52" s="15">
        <f t="shared" si="52"/>
        <v>1000</v>
      </c>
      <c r="X52" s="15">
        <f t="shared" si="52"/>
        <v>0</v>
      </c>
      <c r="Y52" s="15">
        <f t="shared" si="52"/>
        <v>0</v>
      </c>
      <c r="Z52" s="15">
        <f t="shared" si="52"/>
        <v>0</v>
      </c>
      <c r="AA52" s="15">
        <f t="shared" si="52"/>
        <v>0</v>
      </c>
      <c r="AB52" s="15">
        <f t="shared" si="52"/>
        <v>0</v>
      </c>
      <c r="AC52" s="15">
        <f t="shared" si="52"/>
        <v>0</v>
      </c>
      <c r="AD52" s="15">
        <f t="shared" si="52"/>
        <v>27500</v>
      </c>
      <c r="AE52" s="15">
        <f t="shared" si="52"/>
        <v>9500</v>
      </c>
      <c r="AF52" s="15">
        <f t="shared" si="52"/>
        <v>4460</v>
      </c>
      <c r="AG52" s="15">
        <f t="shared" si="52"/>
        <v>7018</v>
      </c>
      <c r="AH52" s="15">
        <f t="shared" si="52"/>
        <v>9715</v>
      </c>
      <c r="AI52" s="15">
        <f t="shared" si="52"/>
        <v>6074</v>
      </c>
      <c r="AJ52" s="15">
        <f t="shared" si="52"/>
        <v>13575</v>
      </c>
      <c r="AK52" s="15">
        <f t="shared" si="52"/>
        <v>36890</v>
      </c>
      <c r="AL52" s="15">
        <f t="shared" si="52"/>
        <v>9650</v>
      </c>
      <c r="AM52" s="15">
        <f t="shared" si="52"/>
        <v>26250</v>
      </c>
      <c r="AN52" s="15">
        <f t="shared" si="52"/>
        <v>0</v>
      </c>
      <c r="AO52" s="15">
        <f t="shared" si="52"/>
        <v>0</v>
      </c>
      <c r="AP52" s="15">
        <f t="shared" si="52"/>
        <v>0</v>
      </c>
      <c r="AQ52" s="15">
        <f t="shared" si="52"/>
        <v>0</v>
      </c>
      <c r="AR52" s="15">
        <f t="shared" si="52"/>
        <v>0</v>
      </c>
      <c r="AS52" s="15">
        <f t="shared" si="52"/>
        <v>0</v>
      </c>
      <c r="AT52" s="15">
        <f t="shared" si="52"/>
        <v>0</v>
      </c>
      <c r="AU52" s="15">
        <f t="shared" si="52"/>
        <v>0</v>
      </c>
      <c r="AV52" s="15">
        <f t="shared" si="52"/>
        <v>0</v>
      </c>
      <c r="AW52" s="15">
        <f t="shared" si="52"/>
        <v>-1000</v>
      </c>
      <c r="AX52" s="15">
        <f t="shared" si="52"/>
        <v>0</v>
      </c>
      <c r="AY52" s="15">
        <f t="shared" si="52"/>
        <v>0</v>
      </c>
      <c r="AZ52" s="15">
        <f t="shared" si="52"/>
        <v>-41460</v>
      </c>
      <c r="BA52" s="15">
        <f t="shared" si="52"/>
        <v>-22807</v>
      </c>
      <c r="BB52" s="15">
        <f t="shared" si="52"/>
        <v>-52115</v>
      </c>
      <c r="BC52" s="15">
        <f t="shared" si="52"/>
        <v>-26250</v>
      </c>
      <c r="BD52" s="15">
        <f t="shared" si="52"/>
        <v>0</v>
      </c>
      <c r="BF52" s="15">
        <f>SUM(AT52:BD52)</f>
        <v>-143632</v>
      </c>
    </row>
    <row r="53" spans="1:58" x14ac:dyDescent="0.25">
      <c r="J53" s="1">
        <f>J52-H52</f>
        <v>1000</v>
      </c>
    </row>
    <row r="54" spans="1:58" x14ac:dyDescent="0.25">
      <c r="B54" s="4" t="s">
        <v>143</v>
      </c>
      <c r="C54" s="4"/>
      <c r="D54" s="53"/>
      <c r="E54" s="53"/>
      <c r="F54" s="53"/>
      <c r="G54" s="53"/>
      <c r="H54" s="53"/>
      <c r="J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40"/>
      <c r="BD54" s="140"/>
      <c r="BF54" s="140"/>
    </row>
    <row r="56" spans="1:58" s="20" customFormat="1" x14ac:dyDescent="0.25">
      <c r="B56" s="57" t="s">
        <v>120</v>
      </c>
      <c r="C56" s="57"/>
      <c r="D56" s="58" t="s">
        <v>121</v>
      </c>
      <c r="E56" s="58"/>
      <c r="F56" s="58" t="s">
        <v>120</v>
      </c>
      <c r="G56" s="58" t="s">
        <v>123</v>
      </c>
      <c r="H56" s="58" t="s">
        <v>124</v>
      </c>
      <c r="J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F56" s="58"/>
    </row>
    <row r="57" spans="1:58" x14ac:dyDescent="0.25">
      <c r="B57" s="21" t="s">
        <v>259</v>
      </c>
      <c r="C57" s="21"/>
      <c r="D57" s="2" t="s">
        <v>143</v>
      </c>
      <c r="E57" s="2" t="s">
        <v>144</v>
      </c>
      <c r="F57" s="9">
        <v>0</v>
      </c>
      <c r="G57" s="59">
        <f t="shared" ref="G57:G65" si="53">SUMIFS($L57:$AR57,$L$7:$AR$7,"&lt;="&amp;$J$4)</f>
        <v>0</v>
      </c>
      <c r="H57" s="1">
        <f t="shared" ref="H57:H65" si="54">J57-G57</f>
        <v>0</v>
      </c>
      <c r="J57" s="1">
        <f t="shared" ref="J57:J66" si="55">SUM(L57:AR57)</f>
        <v>0</v>
      </c>
      <c r="L57" s="115">
        <f>SUMIFS('Invoices - Preopening'!$I$20:$I$299,'Invoices - Preopening'!$H$20:$H$299,"&gt;="&amp;L$6,'Invoices - Preopening'!$H$20:$H$299,"&lt;="&amp;L$7,'Invoices - Preopening'!$C$20:$C$299,'Model - Preopening &amp; Fees'!$B57)</f>
        <v>0</v>
      </c>
      <c r="M57" s="115">
        <f>SUMIFS('Invoices - Preopening'!$I$20:$I$299,'Invoices - Preopening'!$H$20:$H$299,"&gt;="&amp;M$6,'Invoices - Preopening'!$H$20:$H$299,"&lt;="&amp;M$7,'Invoices - Preopening'!$C$20:$C$299,'Model - Preopening &amp; Fees'!$B57)</f>
        <v>0</v>
      </c>
      <c r="N57" s="115">
        <f>SUMIFS('Invoices - Preopening'!$I$20:$I$299,'Invoices - Preopening'!$H$20:$H$299,"&gt;="&amp;N$6,'Invoices - Preopening'!$H$20:$H$299,"&lt;="&amp;N$7,'Invoices - Preopening'!$C$20:$C$299,'Model - Preopening &amp; Fees'!$B57)</f>
        <v>0</v>
      </c>
      <c r="O57" s="115">
        <f>SUMIFS('Invoices - Preopening'!$I$20:$I$299,'Invoices - Preopening'!$H$20:$H$299,"&gt;="&amp;O$6,'Invoices - Preopening'!$H$20:$H$299,"&lt;="&amp;O$7,'Invoices - Preopening'!$C$20:$C$299,'Model - Preopening &amp; Fees'!$B57)</f>
        <v>0</v>
      </c>
      <c r="P57" s="115">
        <f>SUMIFS('Invoices - Preopening'!$I$20:$I$299,'Invoices - Preopening'!$H$20:$H$299,"&gt;="&amp;P$6,'Invoices - Preopening'!$H$20:$H$299,"&lt;="&amp;P$7,'Invoices - Preopening'!$C$20:$C$299,'Model - Preopening &amp; Fees'!$B57)</f>
        <v>0</v>
      </c>
      <c r="Q57" s="115">
        <f>SUMIFS('Invoices - Preopening'!$I$20:$I$299,'Invoices - Preopening'!$H$20:$H$299,"&gt;="&amp;Q$6,'Invoices - Preopening'!$H$20:$H$299,"&lt;="&amp;Q$7,'Invoices - Preopening'!$C$20:$C$299,'Model - Preopening &amp; Fees'!$B57)</f>
        <v>0</v>
      </c>
      <c r="R57" s="115">
        <f>SUMIFS('Invoices - Preopening'!$I$20:$I$299,'Invoices - Preopening'!$H$20:$H$299,"&gt;="&amp;R$6,'Invoices - Preopening'!$H$20:$H$299,"&lt;="&amp;R$7,'Invoices - Preopening'!$C$20:$C$299,'Model - Preopening &amp; Fees'!$B57)</f>
        <v>0</v>
      </c>
      <c r="S57" s="115">
        <f>SUMIFS('Invoices - Preopening'!$I$20:$I$299,'Invoices - Preopening'!$H$20:$H$299,"&gt;="&amp;S$6,'Invoices - Preopening'!$H$20:$H$299,"&lt;="&amp;S$7,'Invoices - Preopening'!$C$20:$C$299,'Model - Preopening &amp; Fees'!$B57)</f>
        <v>0</v>
      </c>
      <c r="T57" s="115">
        <f>SUMIFS('Invoices - Preopening'!$I$20:$I$299,'Invoices - Preopening'!$H$20:$H$299,"&gt;="&amp;T$6,'Invoices - Preopening'!$H$20:$H$299,"&lt;="&amp;T$7,'Invoices - Preopening'!$C$20:$C$299,'Model - Preopening &amp; Fees'!$B57)</f>
        <v>0</v>
      </c>
      <c r="U57" s="115">
        <f>SUMIFS('Invoices - Preopening'!$I$20:$I$299,'Invoices - Preopening'!$H$20:$H$299,"&gt;="&amp;U$6,'Invoices - Preopening'!$H$20:$H$299,"&lt;="&amp;U$7,'Invoices - Preopening'!$C$20:$C$299,'Model - Preopening &amp; Fees'!$B57)</f>
        <v>0</v>
      </c>
      <c r="V57" s="115">
        <f>SUMIFS('Invoices - Preopening'!$I$20:$I$299,'Invoices - Preopening'!$H$20:$H$299,"&gt;="&amp;V$6,'Invoices - Preopening'!$H$20:$H$299,"&lt;="&amp;V$7,'Invoices - Preopening'!$C$20:$C$299,'Model - Preopening &amp; Fees'!$B57)</f>
        <v>0</v>
      </c>
      <c r="W57" s="115">
        <f>SUMIFS('Invoices - Preopening'!$I$20:$I$299,'Invoices - Preopening'!$H$20:$H$299,"&gt;="&amp;W$6,'Invoices - Preopening'!$H$20:$H$299,"&lt;="&amp;W$7,'Invoices - Preopening'!$C$20:$C$299,'Model - Preopening &amp; Fees'!$B57)</f>
        <v>0</v>
      </c>
      <c r="X57" s="117">
        <f>SUMIFS('Invoices - Preopening'!$I$20:$I$299,'Invoices - Preopening'!$H$20:$H$299,"&gt;="&amp;X$6,'Invoices - Preopening'!$H$20:$H$299,"&lt;="&amp;X$7,'Invoices - Preopening'!$C$20:$C$299,'Model - Preopening &amp; Fees'!$B57)</f>
        <v>0</v>
      </c>
      <c r="Y57" s="117">
        <f>SUMIFS('Invoices - Preopening'!$I$20:$I$299,'Invoices - Preopening'!$H$20:$H$299,"&gt;="&amp;Y$6,'Invoices - Preopening'!$H$20:$H$299,"&lt;="&amp;Y$7,'Invoices - Preopening'!$C$20:$C$299,'Model - Preopening &amp; Fees'!$B57)</f>
        <v>0</v>
      </c>
      <c r="Z57" s="117">
        <f>SUMIFS('Invoices - Preopening'!$I$20:$I$299,'Invoices - Preopening'!$H$20:$H$299,"&gt;="&amp;Z$6,'Invoices - Preopening'!$H$20:$H$299,"&lt;="&amp;Z$7,'Invoices - Preopening'!$C$20:$C$299,'Model - Preopening &amp; Fees'!$B57)</f>
        <v>0</v>
      </c>
      <c r="AA57" s="117">
        <f>SUMIFS('Invoices - Preopening'!$I$20:$I$299,'Invoices - Preopening'!$H$20:$H$299,"&gt;="&amp;AA$6,'Invoices - Preopening'!$H$20:$H$299,"&lt;="&amp;AA$7,'Invoices - Preopening'!$C$20:$C$299,'Model - Preopening &amp; Fees'!$B57)</f>
        <v>0</v>
      </c>
      <c r="AB57" s="117">
        <f>SUMIFS('Invoices - Preopening'!$I$20:$I$299,'Invoices - Preopening'!$H$20:$H$299,"&gt;="&amp;AB$6,'Invoices - Preopening'!$H$20:$H$299,"&lt;="&amp;AB$7,'Invoices - Preopening'!$C$20:$C$299,'Model - Preopening &amp; Fees'!$B57)</f>
        <v>0</v>
      </c>
      <c r="AC57" s="117">
        <f>SUMIFS('Invoices - Preopening'!$I$20:$I$299,'Invoices - Preopening'!$H$20:$H$299,"&gt;="&amp;AC$6,'Invoices - Preopening'!$H$20:$H$299,"&lt;="&amp;AC$7,'Invoices - Preopening'!$C$20:$C$299,'Model - Preopening &amp; Fees'!$B57)</f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T57" s="24">
        <f t="shared" ref="AT57:BD65" si="56">-SUMIFS($L57:$AR57,$L$5:$AR$5,AT$5)</f>
        <v>0</v>
      </c>
      <c r="AU57" s="24">
        <f t="shared" si="56"/>
        <v>0</v>
      </c>
      <c r="AV57" s="24">
        <f t="shared" si="56"/>
        <v>0</v>
      </c>
      <c r="AW57" s="24">
        <f t="shared" si="56"/>
        <v>0</v>
      </c>
      <c r="AX57" s="24">
        <f t="shared" si="56"/>
        <v>0</v>
      </c>
      <c r="AY57" s="1">
        <f t="shared" si="56"/>
        <v>0</v>
      </c>
      <c r="AZ57" s="1">
        <f t="shared" si="56"/>
        <v>0</v>
      </c>
      <c r="BA57" s="1">
        <f t="shared" si="56"/>
        <v>0</v>
      </c>
      <c r="BB57" s="1">
        <f t="shared" si="56"/>
        <v>0</v>
      </c>
      <c r="BC57" s="1">
        <f t="shared" si="56"/>
        <v>0</v>
      </c>
      <c r="BD57" s="1">
        <f t="shared" si="56"/>
        <v>0</v>
      </c>
      <c r="BF57" s="1">
        <f t="shared" ref="BF57:BF117" si="57">SUM(AT57:BD57)</f>
        <v>0</v>
      </c>
    </row>
    <row r="58" spans="1:58" x14ac:dyDescent="0.25">
      <c r="A58">
        <v>1</v>
      </c>
      <c r="B58" s="21" t="s">
        <v>260</v>
      </c>
      <c r="C58" s="21"/>
      <c r="D58" s="2" t="s">
        <v>143</v>
      </c>
      <c r="E58" s="2" t="s">
        <v>144</v>
      </c>
      <c r="F58" s="9">
        <v>20000</v>
      </c>
      <c r="G58" s="59">
        <f t="shared" si="53"/>
        <v>29500</v>
      </c>
      <c r="H58" s="1">
        <f t="shared" si="54"/>
        <v>0</v>
      </c>
      <c r="J58" s="1">
        <f t="shared" ref="J58:J59" si="58">SUM(L58:AR58)</f>
        <v>29500</v>
      </c>
      <c r="L58" s="115">
        <f>SUMIFS('Invoices - Preopening'!$I$20:$I$299,'Invoices - Preopening'!$H$20:$H$299,"&gt;="&amp;L$6,'Invoices - Preopening'!$H$20:$H$299,"&lt;="&amp;L$7,'Invoices - Preopening'!$C$20:$C$299,'Model - Preopening &amp; Fees'!$B58)</f>
        <v>0</v>
      </c>
      <c r="M58" s="115">
        <f>SUMIFS('Invoices - Preopening'!$I$20:$I$299,'Invoices - Preopening'!$H$20:$H$299,"&gt;="&amp;M$6,'Invoices - Preopening'!$H$20:$H$299,"&lt;="&amp;M$7,'Invoices - Preopening'!$C$20:$C$299,'Model - Preopening &amp; Fees'!$B58)</f>
        <v>0</v>
      </c>
      <c r="N58" s="115">
        <f>SUMIFS('Invoices - Preopening'!$I$20:$I$299,'Invoices - Preopening'!$H$20:$H$299,"&gt;="&amp;N$6,'Invoices - Preopening'!$H$20:$H$299,"&lt;="&amp;N$7,'Invoices - Preopening'!$C$20:$C$299,'Model - Preopening &amp; Fees'!$B58)</f>
        <v>0</v>
      </c>
      <c r="O58" s="115">
        <f>SUMIFS('Invoices - Preopening'!$I$20:$I$299,'Invoices - Preopening'!$H$20:$H$299,"&gt;="&amp;O$6,'Invoices - Preopening'!$H$20:$H$299,"&lt;="&amp;O$7,'Invoices - Preopening'!$C$20:$C$299,'Model - Preopening &amp; Fees'!$B58)</f>
        <v>0</v>
      </c>
      <c r="P58" s="115">
        <f>SUMIFS('Invoices - Preopening'!$I$20:$I$299,'Invoices - Preopening'!$H$20:$H$299,"&gt;="&amp;P$6,'Invoices - Preopening'!$H$20:$H$299,"&lt;="&amp;P$7,'Invoices - Preopening'!$C$20:$C$299,'Model - Preopening &amp; Fees'!$B58)</f>
        <v>0</v>
      </c>
      <c r="Q58" s="115">
        <f>SUMIFS('Invoices - Preopening'!$I$20:$I$299,'Invoices - Preopening'!$H$20:$H$299,"&gt;="&amp;Q$6,'Invoices - Preopening'!$H$20:$H$299,"&lt;="&amp;Q$7,'Invoices - Preopening'!$C$20:$C$299,'Model - Preopening &amp; Fees'!$B58)</f>
        <v>0</v>
      </c>
      <c r="R58" s="115">
        <f>SUMIFS('Invoices - Preopening'!$I$20:$I$299,'Invoices - Preopening'!$H$20:$H$299,"&gt;="&amp;R$6,'Invoices - Preopening'!$H$20:$H$299,"&lt;="&amp;R$7,'Invoices - Preopening'!$C$20:$C$299,'Model - Preopening &amp; Fees'!$B58)</f>
        <v>0</v>
      </c>
      <c r="S58" s="115">
        <f>SUMIFS('Invoices - Preopening'!$I$20:$I$299,'Invoices - Preopening'!$H$20:$H$299,"&gt;="&amp;S$6,'Invoices - Preopening'!$H$20:$H$299,"&lt;="&amp;S$7,'Invoices - Preopening'!$C$20:$C$299,'Model - Preopening &amp; Fees'!$B58)</f>
        <v>0</v>
      </c>
      <c r="T58" s="115">
        <f>SUMIFS('Invoices - Preopening'!$I$20:$I$299,'Invoices - Preopening'!$H$20:$H$299,"&gt;="&amp;T$6,'Invoices - Preopening'!$H$20:$H$299,"&lt;="&amp;T$7,'Invoices - Preopening'!$C$20:$C$299,'Model - Preopening &amp; Fees'!$B58)</f>
        <v>0</v>
      </c>
      <c r="U58" s="115">
        <f>SUMIFS('Invoices - Preopening'!$I$20:$I$299,'Invoices - Preopening'!$H$20:$H$299,"&gt;="&amp;U$6,'Invoices - Preopening'!$H$20:$H$299,"&lt;="&amp;U$7,'Invoices - Preopening'!$C$20:$C$299,'Model - Preopening &amp; Fees'!$B58)</f>
        <v>0</v>
      </c>
      <c r="V58" s="115">
        <f>SUMIFS('Invoices - Preopening'!$I$20:$I$299,'Invoices - Preopening'!$H$20:$H$299,"&gt;="&amp;V$6,'Invoices - Preopening'!$H$20:$H$299,"&lt;="&amp;V$7,'Invoices - Preopening'!$C$20:$C$299,'Model - Preopening &amp; Fees'!$B58)</f>
        <v>0</v>
      </c>
      <c r="W58" s="115">
        <f>SUMIFS('Invoices - Preopening'!$I$20:$I$299,'Invoices - Preopening'!$H$20:$H$299,"&gt;="&amp;W$6,'Invoices - Preopening'!$H$20:$H$299,"&lt;="&amp;W$7,'Invoices - Preopening'!$C$20:$C$299,'Model - Preopening &amp; Fees'!$B58)</f>
        <v>29500</v>
      </c>
      <c r="X58" s="115">
        <f>SUMIFS('Invoices - Preopening'!$I$20:$I$299,'Invoices - Preopening'!$H$20:$H$299,"&gt;="&amp;X$6,'Invoices - Preopening'!$H$20:$H$299,"&lt;="&amp;X$7,'Invoices - Preopening'!$C$20:$C$299,'Model - Preopening &amp; Fees'!$B58)</f>
        <v>0</v>
      </c>
      <c r="Y58" s="115">
        <f>SUMIFS('Invoices - Preopening'!$I$20:$I$299,'Invoices - Preopening'!$H$20:$H$299,"&gt;="&amp;Y$6,'Invoices - Preopening'!$H$20:$H$299,"&lt;="&amp;Y$7,'Invoices - Preopening'!$C$20:$C$299,'Model - Preopening &amp; Fees'!$B58)</f>
        <v>0</v>
      </c>
      <c r="Z58" s="115">
        <f>SUMIFS('Invoices - Preopening'!$I$20:$I$299,'Invoices - Preopening'!$H$20:$H$299,"&gt;="&amp;Z$6,'Invoices - Preopening'!$H$20:$H$299,"&lt;="&amp;Z$7,'Invoices - Preopening'!$C$20:$C$299,'Model - Preopening &amp; Fees'!$B58)</f>
        <v>0</v>
      </c>
      <c r="AA58" s="115">
        <f>SUMIFS('Invoices - Preopening'!$I$20:$I$299,'Invoices - Preopening'!$H$20:$H$299,"&gt;="&amp;AA$6,'Invoices - Preopening'!$H$20:$H$299,"&lt;="&amp;AA$7,'Invoices - Preopening'!$C$20:$C$299,'Model - Preopening &amp; Fees'!$B58)</f>
        <v>0</v>
      </c>
      <c r="AB58" s="115">
        <f>SUMIFS('Invoices - Preopening'!$I$20:$I$299,'Invoices - Preopening'!$H$20:$H$299,"&gt;="&amp;AB$6,'Invoices - Preopening'!$H$20:$H$299,"&lt;="&amp;AB$7,'Invoices - Preopening'!$C$20:$C$299,'Model - Preopening &amp; Fees'!$B58)</f>
        <v>0</v>
      </c>
      <c r="AC58" s="115">
        <f>SUMIFS('Invoices - Preopening'!$I$20:$I$299,'Invoices - Preopening'!$H$20:$H$299,"&gt;="&amp;AC$6,'Invoices - Preopening'!$H$20:$H$299,"&lt;="&amp;AC$7,'Invoices - Preopening'!$C$20:$C$299,'Model - Preopening &amp; Fees'!$B58)</f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T58" s="24">
        <f t="shared" si="56"/>
        <v>0</v>
      </c>
      <c r="AU58" s="24">
        <f t="shared" si="56"/>
        <v>0</v>
      </c>
      <c r="AV58" s="24">
        <f t="shared" si="56"/>
        <v>0</v>
      </c>
      <c r="AW58" s="24">
        <f t="shared" si="56"/>
        <v>-29500</v>
      </c>
      <c r="AX58" s="24">
        <f t="shared" si="56"/>
        <v>0</v>
      </c>
      <c r="AY58" s="1">
        <f t="shared" si="56"/>
        <v>0</v>
      </c>
      <c r="AZ58" s="1">
        <f t="shared" si="56"/>
        <v>0</v>
      </c>
      <c r="BA58" s="1">
        <f t="shared" si="56"/>
        <v>0</v>
      </c>
      <c r="BB58" s="1">
        <f t="shared" si="56"/>
        <v>0</v>
      </c>
      <c r="BC58" s="1">
        <f t="shared" si="56"/>
        <v>0</v>
      </c>
      <c r="BD58" s="1">
        <f t="shared" si="56"/>
        <v>0</v>
      </c>
      <c r="BF58" s="1">
        <f t="shared" ref="BF58:BF59" si="59">SUM(AT58:BD58)</f>
        <v>-29500</v>
      </c>
    </row>
    <row r="59" spans="1:58" x14ac:dyDescent="0.25">
      <c r="A59">
        <v>1</v>
      </c>
      <c r="B59" s="21" t="s">
        <v>242</v>
      </c>
      <c r="C59" s="21"/>
      <c r="D59" s="2" t="s">
        <v>143</v>
      </c>
      <c r="E59" s="2" t="s">
        <v>144</v>
      </c>
      <c r="F59" s="9">
        <v>4000</v>
      </c>
      <c r="G59" s="59">
        <f t="shared" si="53"/>
        <v>6835.5</v>
      </c>
      <c r="H59" s="1">
        <f t="shared" si="54"/>
        <v>0</v>
      </c>
      <c r="J59" s="1">
        <f t="shared" si="58"/>
        <v>6835.5</v>
      </c>
      <c r="L59" s="115">
        <f>SUMIFS('Invoices - Preopening'!$I$20:$I$299,'Invoices - Preopening'!$H$20:$H$299,"&gt;="&amp;L$6,'Invoices - Preopening'!$H$20:$H$299,"&lt;="&amp;L$7,'Invoices - Preopening'!$C$20:$C$299,'Model - Preopening &amp; Fees'!$B59)</f>
        <v>0</v>
      </c>
      <c r="M59" s="115">
        <f>SUMIFS('Invoices - Preopening'!$I$20:$I$299,'Invoices - Preopening'!$H$20:$H$299,"&gt;="&amp;M$6,'Invoices - Preopening'!$H$20:$H$299,"&lt;="&amp;M$7,'Invoices - Preopening'!$C$20:$C$299,'Model - Preopening &amp; Fees'!$B59)</f>
        <v>0</v>
      </c>
      <c r="N59" s="115">
        <f>SUMIFS('Invoices - Preopening'!$I$20:$I$299,'Invoices - Preopening'!$H$20:$H$299,"&gt;="&amp;N$6,'Invoices - Preopening'!$H$20:$H$299,"&lt;="&amp;N$7,'Invoices - Preopening'!$C$20:$C$299,'Model - Preopening &amp; Fees'!$B59)</f>
        <v>0</v>
      </c>
      <c r="O59" s="115">
        <f>SUMIFS('Invoices - Preopening'!$I$20:$I$299,'Invoices - Preopening'!$H$20:$H$299,"&gt;="&amp;O$6,'Invoices - Preopening'!$H$20:$H$299,"&lt;="&amp;O$7,'Invoices - Preopening'!$C$20:$C$299,'Model - Preopening &amp; Fees'!$B59)</f>
        <v>0</v>
      </c>
      <c r="P59" s="115">
        <f>SUMIFS('Invoices - Preopening'!$I$20:$I$299,'Invoices - Preopening'!$H$20:$H$299,"&gt;="&amp;P$6,'Invoices - Preopening'!$H$20:$H$299,"&lt;="&amp;P$7,'Invoices - Preopening'!$C$20:$C$299,'Model - Preopening &amp; Fees'!$B59)</f>
        <v>0</v>
      </c>
      <c r="Q59" s="115">
        <f>SUMIFS('Invoices - Preopening'!$I$20:$I$299,'Invoices - Preopening'!$H$20:$H$299,"&gt;="&amp;Q$6,'Invoices - Preopening'!$H$20:$H$299,"&lt;="&amp;Q$7,'Invoices - Preopening'!$C$20:$C$299,'Model - Preopening &amp; Fees'!$B59)</f>
        <v>0</v>
      </c>
      <c r="R59" s="115">
        <f>SUMIFS('Invoices - Preopening'!$I$20:$I$299,'Invoices - Preopening'!$H$20:$H$299,"&gt;="&amp;R$6,'Invoices - Preopening'!$H$20:$H$299,"&lt;="&amp;R$7,'Invoices - Preopening'!$C$20:$C$299,'Model - Preopening &amp; Fees'!$B59)</f>
        <v>0</v>
      </c>
      <c r="S59" s="115">
        <f>SUMIFS('Invoices - Preopening'!$I$20:$I$299,'Invoices - Preopening'!$H$20:$H$299,"&gt;="&amp;S$6,'Invoices - Preopening'!$H$20:$H$299,"&lt;="&amp;S$7,'Invoices - Preopening'!$C$20:$C$299,'Model - Preopening &amp; Fees'!$B59)</f>
        <v>0</v>
      </c>
      <c r="T59" s="115">
        <f>SUMIFS('Invoices - Preopening'!$I$20:$I$299,'Invoices - Preopening'!$H$20:$H$299,"&gt;="&amp;T$6,'Invoices - Preopening'!$H$20:$H$299,"&lt;="&amp;T$7,'Invoices - Preopening'!$C$20:$C$299,'Model - Preopening &amp; Fees'!$B59)</f>
        <v>0</v>
      </c>
      <c r="U59" s="115">
        <f>SUMIFS('Invoices - Preopening'!$I$20:$I$299,'Invoices - Preopening'!$H$20:$H$299,"&gt;="&amp;U$6,'Invoices - Preopening'!$H$20:$H$299,"&lt;="&amp;U$7,'Invoices - Preopening'!$C$20:$C$299,'Model - Preopening &amp; Fees'!$B59)</f>
        <v>0</v>
      </c>
      <c r="V59" s="115">
        <f>SUMIFS('Invoices - Preopening'!$I$20:$I$299,'Invoices - Preopening'!$H$20:$H$299,"&gt;="&amp;V$6,'Invoices - Preopening'!$H$20:$H$299,"&lt;="&amp;V$7,'Invoices - Preopening'!$C$20:$C$299,'Model - Preopening &amp; Fees'!$B59)</f>
        <v>0</v>
      </c>
      <c r="W59" s="115">
        <f>SUMIFS('Invoices - Preopening'!$I$20:$I$299,'Invoices - Preopening'!$H$20:$H$299,"&gt;="&amp;W$6,'Invoices - Preopening'!$H$20:$H$299,"&lt;="&amp;W$7,'Invoices - Preopening'!$C$20:$C$299,'Model - Preopening &amp; Fees'!$B59)</f>
        <v>0</v>
      </c>
      <c r="X59" s="115">
        <f>SUMIFS('Invoices - Preopening'!$I$20:$I$299,'Invoices - Preopening'!$H$20:$H$299,"&gt;="&amp;X$6,'Invoices - Preopening'!$H$20:$H$299,"&lt;="&amp;X$7,'Invoices - Preopening'!$C$20:$C$299,'Model - Preopening &amp; Fees'!$B59)</f>
        <v>0</v>
      </c>
      <c r="Y59" s="115">
        <f>SUMIFS('Invoices - Preopening'!$I$20:$I$299,'Invoices - Preopening'!$H$20:$H$299,"&gt;="&amp;Y$6,'Invoices - Preopening'!$H$20:$H$299,"&lt;="&amp;Y$7,'Invoices - Preopening'!$C$20:$C$299,'Model - Preopening &amp; Fees'!$B59)</f>
        <v>0</v>
      </c>
      <c r="Z59" s="115">
        <f>SUMIFS('Invoices - Preopening'!$I$20:$I$299,'Invoices - Preopening'!$H$20:$H$299,"&gt;="&amp;Z$6,'Invoices - Preopening'!$H$20:$H$299,"&lt;="&amp;Z$7,'Invoices - Preopening'!$C$20:$C$299,'Model - Preopening &amp; Fees'!$B59)</f>
        <v>6835.5</v>
      </c>
      <c r="AA59" s="115">
        <f>SUMIFS('Invoices - Preopening'!$I$20:$I$299,'Invoices - Preopening'!$H$20:$H$299,"&gt;="&amp;AA$6,'Invoices - Preopening'!$H$20:$H$299,"&lt;="&amp;AA$7,'Invoices - Preopening'!$C$20:$C$299,'Model - Preopening &amp; Fees'!$B59)</f>
        <v>0</v>
      </c>
      <c r="AB59" s="115">
        <f>SUMIFS('Invoices - Preopening'!$I$20:$I$299,'Invoices - Preopening'!$H$20:$H$299,"&gt;="&amp;AB$6,'Invoices - Preopening'!$H$20:$H$299,"&lt;="&amp;AB$7,'Invoices - Preopening'!$C$20:$C$299,'Model - Preopening &amp; Fees'!$B59)</f>
        <v>0</v>
      </c>
      <c r="AC59" s="115">
        <f>SUMIFS('Invoices - Preopening'!$I$20:$I$299,'Invoices - Preopening'!$H$20:$H$299,"&gt;="&amp;AC$6,'Invoices - Preopening'!$H$20:$H$299,"&lt;="&amp;AC$7,'Invoices - Preopening'!$C$20:$C$299,'Model - Preopening &amp; Fees'!$B59)</f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T59" s="24">
        <f t="shared" si="56"/>
        <v>0</v>
      </c>
      <c r="AU59" s="24">
        <f t="shared" si="56"/>
        <v>0</v>
      </c>
      <c r="AV59" s="24">
        <f t="shared" si="56"/>
        <v>0</v>
      </c>
      <c r="AW59" s="24">
        <f t="shared" si="56"/>
        <v>0</v>
      </c>
      <c r="AX59" s="24">
        <f t="shared" si="56"/>
        <v>-6835.5</v>
      </c>
      <c r="AY59" s="1">
        <f t="shared" si="56"/>
        <v>0</v>
      </c>
      <c r="AZ59" s="1">
        <f t="shared" si="56"/>
        <v>0</v>
      </c>
      <c r="BA59" s="1">
        <f t="shared" si="56"/>
        <v>0</v>
      </c>
      <c r="BB59" s="1">
        <f t="shared" si="56"/>
        <v>0</v>
      </c>
      <c r="BC59" s="1">
        <f t="shared" si="56"/>
        <v>0</v>
      </c>
      <c r="BD59" s="1">
        <f t="shared" si="56"/>
        <v>0</v>
      </c>
      <c r="BF59" s="1">
        <f t="shared" si="59"/>
        <v>-6835.5</v>
      </c>
    </row>
    <row r="60" spans="1:58" x14ac:dyDescent="0.25">
      <c r="A60">
        <v>1</v>
      </c>
      <c r="B60" s="21" t="s">
        <v>299</v>
      </c>
      <c r="C60" s="21"/>
      <c r="D60" s="2" t="s">
        <v>143</v>
      </c>
      <c r="E60" s="2" t="s">
        <v>144</v>
      </c>
      <c r="F60" s="9">
        <v>16000</v>
      </c>
      <c r="G60" s="59">
        <f t="shared" si="53"/>
        <v>0</v>
      </c>
      <c r="H60" s="1">
        <f t="shared" si="54"/>
        <v>16000</v>
      </c>
      <c r="J60" s="1">
        <f t="shared" si="55"/>
        <v>16000</v>
      </c>
      <c r="L60" s="115">
        <f>SUMIFS('Invoices - Preopening'!$I$20:$I$299,'Invoices - Preopening'!$H$20:$H$299,"&gt;="&amp;L$6,'Invoices - Preopening'!$H$20:$H$299,"&lt;="&amp;L$7,'Invoices - Preopening'!$C$20:$C$299,'Model - Preopening &amp; Fees'!$B60)</f>
        <v>0</v>
      </c>
      <c r="M60" s="115">
        <f>SUMIFS('Invoices - Preopening'!$I$20:$I$299,'Invoices - Preopening'!$H$20:$H$299,"&gt;="&amp;M$6,'Invoices - Preopening'!$H$20:$H$299,"&lt;="&amp;M$7,'Invoices - Preopening'!$C$20:$C$299,'Model - Preopening &amp; Fees'!$B60)</f>
        <v>0</v>
      </c>
      <c r="N60" s="115">
        <f>SUMIFS('Invoices - Preopening'!$I$20:$I$299,'Invoices - Preopening'!$H$20:$H$299,"&gt;="&amp;N$6,'Invoices - Preopening'!$H$20:$H$299,"&lt;="&amp;N$7,'Invoices - Preopening'!$C$20:$C$299,'Model - Preopening &amp; Fees'!$B60)</f>
        <v>0</v>
      </c>
      <c r="O60" s="115">
        <f>SUMIFS('Invoices - Preopening'!$I$20:$I$299,'Invoices - Preopening'!$H$20:$H$299,"&gt;="&amp;O$6,'Invoices - Preopening'!$H$20:$H$299,"&lt;="&amp;O$7,'Invoices - Preopening'!$C$20:$C$299,'Model - Preopening &amp; Fees'!$B60)</f>
        <v>0</v>
      </c>
      <c r="P60" s="115">
        <f>SUMIFS('Invoices - Preopening'!$I$20:$I$299,'Invoices - Preopening'!$H$20:$H$299,"&gt;="&amp;P$6,'Invoices - Preopening'!$H$20:$H$299,"&lt;="&amp;P$7,'Invoices - Preopening'!$C$20:$C$299,'Model - Preopening &amp; Fees'!$B60)</f>
        <v>0</v>
      </c>
      <c r="Q60" s="115">
        <f>SUMIFS('Invoices - Preopening'!$I$20:$I$299,'Invoices - Preopening'!$H$20:$H$299,"&gt;="&amp;Q$6,'Invoices - Preopening'!$H$20:$H$299,"&lt;="&amp;Q$7,'Invoices - Preopening'!$C$20:$C$299,'Model - Preopening &amp; Fees'!$B60)</f>
        <v>0</v>
      </c>
      <c r="R60" s="115">
        <f>SUMIFS('Invoices - Preopening'!$I$20:$I$299,'Invoices - Preopening'!$H$20:$H$299,"&gt;="&amp;R$6,'Invoices - Preopening'!$H$20:$H$299,"&lt;="&amp;R$7,'Invoices - Preopening'!$C$20:$C$299,'Model - Preopening &amp; Fees'!$B60)</f>
        <v>0</v>
      </c>
      <c r="S60" s="115">
        <f>SUMIFS('Invoices - Preopening'!$I$20:$I$299,'Invoices - Preopening'!$H$20:$H$299,"&gt;="&amp;S$6,'Invoices - Preopening'!$H$20:$H$299,"&lt;="&amp;S$7,'Invoices - Preopening'!$C$20:$C$299,'Model - Preopening &amp; Fees'!$B60)</f>
        <v>0</v>
      </c>
      <c r="T60" s="115">
        <f>SUMIFS('Invoices - Preopening'!$I$20:$I$299,'Invoices - Preopening'!$H$20:$H$299,"&gt;="&amp;T$6,'Invoices - Preopening'!$H$20:$H$299,"&lt;="&amp;T$7,'Invoices - Preopening'!$C$20:$C$299,'Model - Preopening &amp; Fees'!$B60)</f>
        <v>0</v>
      </c>
      <c r="U60" s="115">
        <f>SUMIFS('Invoices - Preopening'!$I$20:$I$299,'Invoices - Preopening'!$H$20:$H$299,"&gt;="&amp;U$6,'Invoices - Preopening'!$H$20:$H$299,"&lt;="&amp;U$7,'Invoices - Preopening'!$C$20:$C$299,'Model - Preopening &amp; Fees'!$B60)</f>
        <v>0</v>
      </c>
      <c r="V60" s="115">
        <f>SUMIFS('Invoices - Preopening'!$I$20:$I$299,'Invoices - Preopening'!$H$20:$H$299,"&gt;="&amp;V$6,'Invoices - Preopening'!$H$20:$H$299,"&lt;="&amp;V$7,'Invoices - Preopening'!$C$20:$C$299,'Model - Preopening &amp; Fees'!$B60)</f>
        <v>0</v>
      </c>
      <c r="W60" s="115">
        <f>SUMIFS('Invoices - Preopening'!$I$20:$I$299,'Invoices - Preopening'!$H$20:$H$299,"&gt;="&amp;W$6,'Invoices - Preopening'!$H$20:$H$299,"&lt;="&amp;W$7,'Invoices - Preopening'!$C$20:$C$299,'Model - Preopening &amp; Fees'!$B60)</f>
        <v>0</v>
      </c>
      <c r="X60" s="115">
        <f>SUMIFS('Invoices - Preopening'!$I$20:$I$299,'Invoices - Preopening'!$H$20:$H$299,"&gt;="&amp;X$6,'Invoices - Preopening'!$H$20:$H$299,"&lt;="&amp;X$7,'Invoices - Preopening'!$C$20:$C$299,'Model - Preopening &amp; Fees'!$B60)</f>
        <v>0</v>
      </c>
      <c r="Y60" s="115">
        <f>SUMIFS('Invoices - Preopening'!$I$20:$I$299,'Invoices - Preopening'!$H$20:$H$299,"&gt;="&amp;Y$6,'Invoices - Preopening'!$H$20:$H$299,"&lt;="&amp;Y$7,'Invoices - Preopening'!$C$20:$C$299,'Model - Preopening &amp; Fees'!$B60)</f>
        <v>0</v>
      </c>
      <c r="Z60" s="115">
        <f>SUMIFS('Invoices - Preopening'!$I$20:$I$299,'Invoices - Preopening'!$H$20:$H$299,"&gt;="&amp;Z$6,'Invoices - Preopening'!$H$20:$H$299,"&lt;="&amp;Z$7,'Invoices - Preopening'!$C$20:$C$299,'Model - Preopening &amp; Fees'!$B60)</f>
        <v>0</v>
      </c>
      <c r="AA60" s="115">
        <f>SUMIFS('Invoices - Preopening'!$I$20:$I$299,'Invoices - Preopening'!$H$20:$H$299,"&gt;="&amp;AA$6,'Invoices - Preopening'!$H$20:$H$299,"&lt;="&amp;AA$7,'Invoices - Preopening'!$C$20:$C$299,'Model - Preopening &amp; Fees'!$B60)</f>
        <v>0</v>
      </c>
      <c r="AB60" s="115">
        <f>SUMIFS('Invoices - Preopening'!$I$20:$I$299,'Invoices - Preopening'!$H$20:$H$299,"&gt;="&amp;AB$6,'Invoices - Preopening'!$H$20:$H$299,"&lt;="&amp;AB$7,'Invoices - Preopening'!$C$20:$C$299,'Model - Preopening &amp; Fees'!$B60)</f>
        <v>0</v>
      </c>
      <c r="AC60" s="115">
        <f>SUMIFS('Invoices - Preopening'!$I$20:$I$299,'Invoices - Preopening'!$H$20:$H$299,"&gt;="&amp;AC$6,'Invoices - Preopening'!$H$20:$H$299,"&lt;="&amp;AC$7,'Invoices - Preopening'!$C$20:$C$299,'Model - Preopening &amp; Fees'!$B60)</f>
        <v>0</v>
      </c>
      <c r="AD60" s="9">
        <v>16000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T60" s="24">
        <f t="shared" si="56"/>
        <v>0</v>
      </c>
      <c r="AU60" s="24">
        <f t="shared" si="56"/>
        <v>0</v>
      </c>
      <c r="AV60" s="24">
        <f t="shared" si="56"/>
        <v>0</v>
      </c>
      <c r="AW60" s="24">
        <f t="shared" si="56"/>
        <v>0</v>
      </c>
      <c r="AX60" s="24">
        <f t="shared" si="56"/>
        <v>0</v>
      </c>
      <c r="AY60" s="1">
        <f t="shared" si="56"/>
        <v>0</v>
      </c>
      <c r="AZ60" s="1">
        <f t="shared" si="56"/>
        <v>-16000</v>
      </c>
      <c r="BA60" s="1">
        <f t="shared" si="56"/>
        <v>0</v>
      </c>
      <c r="BB60" s="1">
        <f t="shared" si="56"/>
        <v>0</v>
      </c>
      <c r="BC60" s="1">
        <f t="shared" si="56"/>
        <v>0</v>
      </c>
      <c r="BD60" s="1">
        <f t="shared" si="56"/>
        <v>0</v>
      </c>
      <c r="BF60" s="1">
        <f t="shared" si="57"/>
        <v>-16000</v>
      </c>
    </row>
    <row r="61" spans="1:58" x14ac:dyDescent="0.25">
      <c r="A61">
        <v>1</v>
      </c>
      <c r="B61" s="21" t="s">
        <v>261</v>
      </c>
      <c r="C61" s="21"/>
      <c r="D61" s="2" t="s">
        <v>143</v>
      </c>
      <c r="E61" s="2" t="s">
        <v>144</v>
      </c>
      <c r="F61" s="9">
        <v>12000</v>
      </c>
      <c r="G61" s="59">
        <f t="shared" si="53"/>
        <v>0</v>
      </c>
      <c r="H61" s="1">
        <f t="shared" si="54"/>
        <v>12000</v>
      </c>
      <c r="J61" s="1">
        <f t="shared" si="55"/>
        <v>12000</v>
      </c>
      <c r="L61" s="115">
        <f>SUMIFS('Invoices - Preopening'!$I$20:$I$299,'Invoices - Preopening'!$H$20:$H$299,"&gt;="&amp;L$6,'Invoices - Preopening'!$H$20:$H$299,"&lt;="&amp;L$7,'Invoices - Preopening'!$C$20:$C$299,'Model - Preopening &amp; Fees'!$B61)</f>
        <v>0</v>
      </c>
      <c r="M61" s="115">
        <f>SUMIFS('Invoices - Preopening'!$I$20:$I$299,'Invoices - Preopening'!$H$20:$H$299,"&gt;="&amp;M$6,'Invoices - Preopening'!$H$20:$H$299,"&lt;="&amp;M$7,'Invoices - Preopening'!$C$20:$C$299,'Model - Preopening &amp; Fees'!$B61)</f>
        <v>0</v>
      </c>
      <c r="N61" s="115">
        <f>SUMIFS('Invoices - Preopening'!$I$20:$I$299,'Invoices - Preopening'!$H$20:$H$299,"&gt;="&amp;N$6,'Invoices - Preopening'!$H$20:$H$299,"&lt;="&amp;N$7,'Invoices - Preopening'!$C$20:$C$299,'Model - Preopening &amp; Fees'!$B61)</f>
        <v>0</v>
      </c>
      <c r="O61" s="115">
        <f>SUMIFS('Invoices - Preopening'!$I$20:$I$299,'Invoices - Preopening'!$H$20:$H$299,"&gt;="&amp;O$6,'Invoices - Preopening'!$H$20:$H$299,"&lt;="&amp;O$7,'Invoices - Preopening'!$C$20:$C$299,'Model - Preopening &amp; Fees'!$B61)</f>
        <v>0</v>
      </c>
      <c r="P61" s="115">
        <f>SUMIFS('Invoices - Preopening'!$I$20:$I$299,'Invoices - Preopening'!$H$20:$H$299,"&gt;="&amp;P$6,'Invoices - Preopening'!$H$20:$H$299,"&lt;="&amp;P$7,'Invoices - Preopening'!$C$20:$C$299,'Model - Preopening &amp; Fees'!$B61)</f>
        <v>0</v>
      </c>
      <c r="Q61" s="115">
        <f>SUMIFS('Invoices - Preopening'!$I$20:$I$299,'Invoices - Preopening'!$H$20:$H$299,"&gt;="&amp;Q$6,'Invoices - Preopening'!$H$20:$H$299,"&lt;="&amp;Q$7,'Invoices - Preopening'!$C$20:$C$299,'Model - Preopening &amp; Fees'!$B61)</f>
        <v>0</v>
      </c>
      <c r="R61" s="115">
        <f>SUMIFS('Invoices - Preopening'!$I$20:$I$299,'Invoices - Preopening'!$H$20:$H$299,"&gt;="&amp;R$6,'Invoices - Preopening'!$H$20:$H$299,"&lt;="&amp;R$7,'Invoices - Preopening'!$C$20:$C$299,'Model - Preopening &amp; Fees'!$B61)</f>
        <v>0</v>
      </c>
      <c r="S61" s="115">
        <f>SUMIFS('Invoices - Preopening'!$I$20:$I$299,'Invoices - Preopening'!$H$20:$H$299,"&gt;="&amp;S$6,'Invoices - Preopening'!$H$20:$H$299,"&lt;="&amp;S$7,'Invoices - Preopening'!$C$20:$C$299,'Model - Preopening &amp; Fees'!$B61)</f>
        <v>0</v>
      </c>
      <c r="T61" s="115">
        <f>SUMIFS('Invoices - Preopening'!$I$20:$I$299,'Invoices - Preopening'!$H$20:$H$299,"&gt;="&amp;T$6,'Invoices - Preopening'!$H$20:$H$299,"&lt;="&amp;T$7,'Invoices - Preopening'!$C$20:$C$299,'Model - Preopening &amp; Fees'!$B61)</f>
        <v>0</v>
      </c>
      <c r="U61" s="115">
        <f>SUMIFS('Invoices - Preopening'!$I$20:$I$299,'Invoices - Preopening'!$H$20:$H$299,"&gt;="&amp;U$6,'Invoices - Preopening'!$H$20:$H$299,"&lt;="&amp;U$7,'Invoices - Preopening'!$C$20:$C$299,'Model - Preopening &amp; Fees'!$B61)</f>
        <v>0</v>
      </c>
      <c r="V61" s="115">
        <f>SUMIFS('Invoices - Preopening'!$I$20:$I$299,'Invoices - Preopening'!$H$20:$H$299,"&gt;="&amp;V$6,'Invoices - Preopening'!$H$20:$H$299,"&lt;="&amp;V$7,'Invoices - Preopening'!$C$20:$C$299,'Model - Preopening &amp; Fees'!$B61)</f>
        <v>0</v>
      </c>
      <c r="W61" s="115">
        <f>SUMIFS('Invoices - Preopening'!$I$20:$I$299,'Invoices - Preopening'!$H$20:$H$299,"&gt;="&amp;W$6,'Invoices - Preopening'!$H$20:$H$299,"&lt;="&amp;W$7,'Invoices - Preopening'!$C$20:$C$299,'Model - Preopening &amp; Fees'!$B61)</f>
        <v>0</v>
      </c>
      <c r="X61" s="115">
        <f>SUMIFS('Invoices - Preopening'!$I$20:$I$299,'Invoices - Preopening'!$H$20:$H$299,"&gt;="&amp;X$6,'Invoices - Preopening'!$H$20:$H$299,"&lt;="&amp;X$7,'Invoices - Preopening'!$C$20:$C$299,'Model - Preopening &amp; Fees'!$B61)</f>
        <v>0</v>
      </c>
      <c r="Y61" s="115">
        <f>SUMIFS('Invoices - Preopening'!$I$20:$I$299,'Invoices - Preopening'!$H$20:$H$299,"&gt;="&amp;Y$6,'Invoices - Preopening'!$H$20:$H$299,"&lt;="&amp;Y$7,'Invoices - Preopening'!$C$20:$C$299,'Model - Preopening &amp; Fees'!$B61)</f>
        <v>0</v>
      </c>
      <c r="Z61" s="115">
        <f>SUMIFS('Invoices - Preopening'!$I$20:$I$299,'Invoices - Preopening'!$H$20:$H$299,"&gt;="&amp;Z$6,'Invoices - Preopening'!$H$20:$H$299,"&lt;="&amp;Z$7,'Invoices - Preopening'!$C$20:$C$299,'Model - Preopening &amp; Fees'!$B61)</f>
        <v>0</v>
      </c>
      <c r="AA61" s="115">
        <f>SUMIFS('Invoices - Preopening'!$I$20:$I$299,'Invoices - Preopening'!$H$20:$H$299,"&gt;="&amp;AA$6,'Invoices - Preopening'!$H$20:$H$299,"&lt;="&amp;AA$7,'Invoices - Preopening'!$C$20:$C$299,'Model - Preopening &amp; Fees'!$B61)</f>
        <v>0</v>
      </c>
      <c r="AB61" s="115">
        <f>SUMIFS('Invoices - Preopening'!$I$20:$I$299,'Invoices - Preopening'!$H$20:$H$299,"&gt;="&amp;AB$6,'Invoices - Preopening'!$H$20:$H$299,"&lt;="&amp;AB$7,'Invoices - Preopening'!$C$20:$C$299,'Model - Preopening &amp; Fees'!$B61)</f>
        <v>0</v>
      </c>
      <c r="AC61" s="115">
        <f>SUMIFS('Invoices - Preopening'!$I$20:$I$299,'Invoices - Preopening'!$H$20:$H$299,"&gt;="&amp;AC$6,'Invoices - Preopening'!$H$20:$H$299,"&lt;="&amp;AC$7,'Invoices - Preopening'!$C$20:$C$299,'Model - Preopening &amp; Fees'!$B61)</f>
        <v>0</v>
      </c>
      <c r="AD61" s="9">
        <v>0</v>
      </c>
      <c r="AE61" s="9">
        <v>0</v>
      </c>
      <c r="AF61" s="9">
        <v>2000</v>
      </c>
      <c r="AG61" s="9">
        <v>2000</v>
      </c>
      <c r="AH61" s="9">
        <v>2000</v>
      </c>
      <c r="AI61" s="9">
        <v>2000</v>
      </c>
      <c r="AJ61" s="9">
        <v>2000</v>
      </c>
      <c r="AK61" s="9">
        <v>2000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T61" s="24">
        <f t="shared" si="56"/>
        <v>0</v>
      </c>
      <c r="AU61" s="24">
        <f t="shared" si="56"/>
        <v>0</v>
      </c>
      <c r="AV61" s="24">
        <f t="shared" si="56"/>
        <v>0</v>
      </c>
      <c r="AW61" s="24">
        <f t="shared" si="56"/>
        <v>0</v>
      </c>
      <c r="AX61" s="24">
        <f t="shared" si="56"/>
        <v>0</v>
      </c>
      <c r="AY61" s="1">
        <f t="shared" si="56"/>
        <v>0</v>
      </c>
      <c r="AZ61" s="1">
        <f t="shared" si="56"/>
        <v>-2000</v>
      </c>
      <c r="BA61" s="1">
        <f t="shared" si="56"/>
        <v>-6000</v>
      </c>
      <c r="BB61" s="1">
        <f t="shared" si="56"/>
        <v>-4000</v>
      </c>
      <c r="BC61" s="1">
        <f t="shared" si="56"/>
        <v>0</v>
      </c>
      <c r="BD61" s="1">
        <f t="shared" si="56"/>
        <v>0</v>
      </c>
      <c r="BF61" s="1">
        <f t="shared" si="57"/>
        <v>-12000</v>
      </c>
    </row>
    <row r="62" spans="1:58" x14ac:dyDescent="0.25">
      <c r="B62" s="21" t="s">
        <v>263</v>
      </c>
      <c r="C62" s="21"/>
      <c r="D62" s="2" t="s">
        <v>143</v>
      </c>
      <c r="E62" s="2" t="s">
        <v>144</v>
      </c>
      <c r="F62" s="9">
        <v>0</v>
      </c>
      <c r="G62" s="59">
        <f t="shared" si="53"/>
        <v>0</v>
      </c>
      <c r="H62" s="1">
        <f t="shared" si="54"/>
        <v>0</v>
      </c>
      <c r="J62" s="1">
        <f t="shared" si="55"/>
        <v>0</v>
      </c>
      <c r="L62" s="115">
        <f>SUMIFS('Invoices - Preopening'!$I$20:$I$299,'Invoices - Preopening'!$H$20:$H$299,"&gt;="&amp;L$6,'Invoices - Preopening'!$H$20:$H$299,"&lt;="&amp;L$7,'Invoices - Preopening'!$C$20:$C$299,'Model - Preopening &amp; Fees'!$B62)</f>
        <v>0</v>
      </c>
      <c r="M62" s="115">
        <f>SUMIFS('Invoices - Preopening'!$I$20:$I$299,'Invoices - Preopening'!$H$20:$H$299,"&gt;="&amp;M$6,'Invoices - Preopening'!$H$20:$H$299,"&lt;="&amp;M$7,'Invoices - Preopening'!$C$20:$C$299,'Model - Preopening &amp; Fees'!$B62)</f>
        <v>0</v>
      </c>
      <c r="N62" s="115">
        <f>SUMIFS('Invoices - Preopening'!$I$20:$I$299,'Invoices - Preopening'!$H$20:$H$299,"&gt;="&amp;N$6,'Invoices - Preopening'!$H$20:$H$299,"&lt;="&amp;N$7,'Invoices - Preopening'!$C$20:$C$299,'Model - Preopening &amp; Fees'!$B62)</f>
        <v>0</v>
      </c>
      <c r="O62" s="115">
        <f>SUMIFS('Invoices - Preopening'!$I$20:$I$299,'Invoices - Preopening'!$H$20:$H$299,"&gt;="&amp;O$6,'Invoices - Preopening'!$H$20:$H$299,"&lt;="&amp;O$7,'Invoices - Preopening'!$C$20:$C$299,'Model - Preopening &amp; Fees'!$B62)</f>
        <v>0</v>
      </c>
      <c r="P62" s="115">
        <f>SUMIFS('Invoices - Preopening'!$I$20:$I$299,'Invoices - Preopening'!$H$20:$H$299,"&gt;="&amp;P$6,'Invoices - Preopening'!$H$20:$H$299,"&lt;="&amp;P$7,'Invoices - Preopening'!$C$20:$C$299,'Model - Preopening &amp; Fees'!$B62)</f>
        <v>0</v>
      </c>
      <c r="Q62" s="115">
        <f>SUMIFS('Invoices - Preopening'!$I$20:$I$299,'Invoices - Preopening'!$H$20:$H$299,"&gt;="&amp;Q$6,'Invoices - Preopening'!$H$20:$H$299,"&lt;="&amp;Q$7,'Invoices - Preopening'!$C$20:$C$299,'Model - Preopening &amp; Fees'!$B62)</f>
        <v>0</v>
      </c>
      <c r="R62" s="115">
        <f>SUMIFS('Invoices - Preopening'!$I$20:$I$299,'Invoices - Preopening'!$H$20:$H$299,"&gt;="&amp;R$6,'Invoices - Preopening'!$H$20:$H$299,"&lt;="&amp;R$7,'Invoices - Preopening'!$C$20:$C$299,'Model - Preopening &amp; Fees'!$B62)</f>
        <v>0</v>
      </c>
      <c r="S62" s="115">
        <f>SUMIFS('Invoices - Preopening'!$I$20:$I$299,'Invoices - Preopening'!$H$20:$H$299,"&gt;="&amp;S$6,'Invoices - Preopening'!$H$20:$H$299,"&lt;="&amp;S$7,'Invoices - Preopening'!$C$20:$C$299,'Model - Preopening &amp; Fees'!$B62)</f>
        <v>0</v>
      </c>
      <c r="T62" s="115">
        <f>SUMIFS('Invoices - Preopening'!$I$20:$I$299,'Invoices - Preopening'!$H$20:$H$299,"&gt;="&amp;T$6,'Invoices - Preopening'!$H$20:$H$299,"&lt;="&amp;T$7,'Invoices - Preopening'!$C$20:$C$299,'Model - Preopening &amp; Fees'!$B62)</f>
        <v>0</v>
      </c>
      <c r="U62" s="115">
        <f>SUMIFS('Invoices - Preopening'!$I$20:$I$299,'Invoices - Preopening'!$H$20:$H$299,"&gt;="&amp;U$6,'Invoices - Preopening'!$H$20:$H$299,"&lt;="&amp;U$7,'Invoices - Preopening'!$C$20:$C$299,'Model - Preopening &amp; Fees'!$B62)</f>
        <v>0</v>
      </c>
      <c r="V62" s="115">
        <f>SUMIFS('Invoices - Preopening'!$I$20:$I$299,'Invoices - Preopening'!$H$20:$H$299,"&gt;="&amp;V$6,'Invoices - Preopening'!$H$20:$H$299,"&lt;="&amp;V$7,'Invoices - Preopening'!$C$20:$C$299,'Model - Preopening &amp; Fees'!$B62)</f>
        <v>0</v>
      </c>
      <c r="W62" s="115">
        <f>SUMIFS('Invoices - Preopening'!$I$20:$I$299,'Invoices - Preopening'!$H$20:$H$299,"&gt;="&amp;W$6,'Invoices - Preopening'!$H$20:$H$299,"&lt;="&amp;W$7,'Invoices - Preopening'!$C$20:$C$299,'Model - Preopening &amp; Fees'!$B62)</f>
        <v>0</v>
      </c>
      <c r="X62" s="115">
        <f>SUMIFS('Invoices - Preopening'!$I$20:$I$299,'Invoices - Preopening'!$H$20:$H$299,"&gt;="&amp;X$6,'Invoices - Preopening'!$H$20:$H$299,"&lt;="&amp;X$7,'Invoices - Preopening'!$C$20:$C$299,'Model - Preopening &amp; Fees'!$B62)</f>
        <v>0</v>
      </c>
      <c r="Y62" s="115">
        <f>SUMIFS('Invoices - Preopening'!$I$20:$I$299,'Invoices - Preopening'!$H$20:$H$299,"&gt;="&amp;Y$6,'Invoices - Preopening'!$H$20:$H$299,"&lt;="&amp;Y$7,'Invoices - Preopening'!$C$20:$C$299,'Model - Preopening &amp; Fees'!$B62)</f>
        <v>0</v>
      </c>
      <c r="Z62" s="115">
        <f>SUMIFS('Invoices - Preopening'!$I$20:$I$299,'Invoices - Preopening'!$H$20:$H$299,"&gt;="&amp;Z$6,'Invoices - Preopening'!$H$20:$H$299,"&lt;="&amp;Z$7,'Invoices - Preopening'!$C$20:$C$299,'Model - Preopening &amp; Fees'!$B62)</f>
        <v>0</v>
      </c>
      <c r="AA62" s="115">
        <f>SUMIFS('Invoices - Preopening'!$I$20:$I$299,'Invoices - Preopening'!$H$20:$H$299,"&gt;="&amp;AA$6,'Invoices - Preopening'!$H$20:$H$299,"&lt;="&amp;AA$7,'Invoices - Preopening'!$C$20:$C$299,'Model - Preopening &amp; Fees'!$B62)</f>
        <v>0</v>
      </c>
      <c r="AB62" s="115">
        <f>SUMIFS('Invoices - Preopening'!$I$20:$I$299,'Invoices - Preopening'!$H$20:$H$299,"&gt;="&amp;AB$6,'Invoices - Preopening'!$H$20:$H$299,"&lt;="&amp;AB$7,'Invoices - Preopening'!$C$20:$C$299,'Model - Preopening &amp; Fees'!$B62)</f>
        <v>0</v>
      </c>
      <c r="AC62" s="115">
        <f>SUMIFS('Invoices - Preopening'!$I$20:$I$299,'Invoices - Preopening'!$H$20:$H$299,"&gt;="&amp;AC$6,'Invoices - Preopening'!$H$20:$H$299,"&lt;="&amp;AC$7,'Invoices - Preopening'!$C$20:$C$299,'Model - Preopening &amp; Fees'!$B62)</f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T62" s="24">
        <f t="shared" si="56"/>
        <v>0</v>
      </c>
      <c r="AU62" s="24">
        <f t="shared" si="56"/>
        <v>0</v>
      </c>
      <c r="AV62" s="24">
        <f t="shared" si="56"/>
        <v>0</v>
      </c>
      <c r="AW62" s="24">
        <f t="shared" si="56"/>
        <v>0</v>
      </c>
      <c r="AX62" s="24">
        <f t="shared" si="56"/>
        <v>0</v>
      </c>
      <c r="AY62" s="1">
        <f t="shared" si="56"/>
        <v>0</v>
      </c>
      <c r="AZ62" s="1">
        <f t="shared" si="56"/>
        <v>0</v>
      </c>
      <c r="BA62" s="1">
        <f t="shared" si="56"/>
        <v>0</v>
      </c>
      <c r="BB62" s="1">
        <f t="shared" si="56"/>
        <v>0</v>
      </c>
      <c r="BC62" s="1">
        <f t="shared" si="56"/>
        <v>0</v>
      </c>
      <c r="BD62" s="1">
        <f t="shared" si="56"/>
        <v>0</v>
      </c>
      <c r="BF62" s="1">
        <f t="shared" si="57"/>
        <v>0</v>
      </c>
    </row>
    <row r="63" spans="1:58" x14ac:dyDescent="0.25">
      <c r="A63">
        <v>1</v>
      </c>
      <c r="B63" s="21" t="s">
        <v>262</v>
      </c>
      <c r="C63" s="21"/>
      <c r="D63" s="2" t="s">
        <v>143</v>
      </c>
      <c r="E63" s="2" t="s">
        <v>144</v>
      </c>
      <c r="F63" s="9">
        <v>12000</v>
      </c>
      <c r="G63" s="59">
        <f t="shared" si="53"/>
        <v>0</v>
      </c>
      <c r="H63" s="1">
        <f t="shared" si="54"/>
        <v>12000</v>
      </c>
      <c r="J63" s="1">
        <f t="shared" si="55"/>
        <v>12000</v>
      </c>
      <c r="L63" s="115">
        <f>SUMIFS('Invoices - Preopening'!$I$20:$I$299,'Invoices - Preopening'!$H$20:$H$299,"&gt;="&amp;L$6,'Invoices - Preopening'!$H$20:$H$299,"&lt;="&amp;L$7,'Invoices - Preopening'!$C$20:$C$299,'Model - Preopening &amp; Fees'!$B63)</f>
        <v>0</v>
      </c>
      <c r="M63" s="115">
        <f>SUMIFS('Invoices - Preopening'!$I$20:$I$299,'Invoices - Preopening'!$H$20:$H$299,"&gt;="&amp;M$6,'Invoices - Preopening'!$H$20:$H$299,"&lt;="&amp;M$7,'Invoices - Preopening'!$C$20:$C$299,'Model - Preopening &amp; Fees'!$B63)</f>
        <v>0</v>
      </c>
      <c r="N63" s="115">
        <f>SUMIFS('Invoices - Preopening'!$I$20:$I$299,'Invoices - Preopening'!$H$20:$H$299,"&gt;="&amp;N$6,'Invoices - Preopening'!$H$20:$H$299,"&lt;="&amp;N$7,'Invoices - Preopening'!$C$20:$C$299,'Model - Preopening &amp; Fees'!$B63)</f>
        <v>0</v>
      </c>
      <c r="O63" s="115">
        <f>SUMIFS('Invoices - Preopening'!$I$20:$I$299,'Invoices - Preopening'!$H$20:$H$299,"&gt;="&amp;O$6,'Invoices - Preopening'!$H$20:$H$299,"&lt;="&amp;O$7,'Invoices - Preopening'!$C$20:$C$299,'Model - Preopening &amp; Fees'!$B63)</f>
        <v>0</v>
      </c>
      <c r="P63" s="115">
        <f>SUMIFS('Invoices - Preopening'!$I$20:$I$299,'Invoices - Preopening'!$H$20:$H$299,"&gt;="&amp;P$6,'Invoices - Preopening'!$H$20:$H$299,"&lt;="&amp;P$7,'Invoices - Preopening'!$C$20:$C$299,'Model - Preopening &amp; Fees'!$B63)</f>
        <v>0</v>
      </c>
      <c r="Q63" s="115">
        <f>SUMIFS('Invoices - Preopening'!$I$20:$I$299,'Invoices - Preopening'!$H$20:$H$299,"&gt;="&amp;Q$6,'Invoices - Preopening'!$H$20:$H$299,"&lt;="&amp;Q$7,'Invoices - Preopening'!$C$20:$C$299,'Model - Preopening &amp; Fees'!$B63)</f>
        <v>0</v>
      </c>
      <c r="R63" s="115">
        <f>SUMIFS('Invoices - Preopening'!$I$20:$I$299,'Invoices - Preopening'!$H$20:$H$299,"&gt;="&amp;R$6,'Invoices - Preopening'!$H$20:$H$299,"&lt;="&amp;R$7,'Invoices - Preopening'!$C$20:$C$299,'Model - Preopening &amp; Fees'!$B63)</f>
        <v>0</v>
      </c>
      <c r="S63" s="115">
        <f>SUMIFS('Invoices - Preopening'!$I$20:$I$299,'Invoices - Preopening'!$H$20:$H$299,"&gt;="&amp;S$6,'Invoices - Preopening'!$H$20:$H$299,"&lt;="&amp;S$7,'Invoices - Preopening'!$C$20:$C$299,'Model - Preopening &amp; Fees'!$B63)</f>
        <v>0</v>
      </c>
      <c r="T63" s="115">
        <f>SUMIFS('Invoices - Preopening'!$I$20:$I$299,'Invoices - Preopening'!$H$20:$H$299,"&gt;="&amp;T$6,'Invoices - Preopening'!$H$20:$H$299,"&lt;="&amp;T$7,'Invoices - Preopening'!$C$20:$C$299,'Model - Preopening &amp; Fees'!$B63)</f>
        <v>0</v>
      </c>
      <c r="U63" s="115">
        <f>SUMIFS('Invoices - Preopening'!$I$20:$I$299,'Invoices - Preopening'!$H$20:$H$299,"&gt;="&amp;U$6,'Invoices - Preopening'!$H$20:$H$299,"&lt;="&amp;U$7,'Invoices - Preopening'!$C$20:$C$299,'Model - Preopening &amp; Fees'!$B63)</f>
        <v>0</v>
      </c>
      <c r="V63" s="115">
        <f>SUMIFS('Invoices - Preopening'!$I$20:$I$299,'Invoices - Preopening'!$H$20:$H$299,"&gt;="&amp;V$6,'Invoices - Preopening'!$H$20:$H$299,"&lt;="&amp;V$7,'Invoices - Preopening'!$C$20:$C$299,'Model - Preopening &amp; Fees'!$B63)</f>
        <v>0</v>
      </c>
      <c r="W63" s="115">
        <f>SUMIFS('Invoices - Preopening'!$I$20:$I$299,'Invoices - Preopening'!$H$20:$H$299,"&gt;="&amp;W$6,'Invoices - Preopening'!$H$20:$H$299,"&lt;="&amp;W$7,'Invoices - Preopening'!$C$20:$C$299,'Model - Preopening &amp; Fees'!$B63)</f>
        <v>0</v>
      </c>
      <c r="X63" s="115">
        <f>SUMIFS('Invoices - Preopening'!$I$20:$I$299,'Invoices - Preopening'!$H$20:$H$299,"&gt;="&amp;X$6,'Invoices - Preopening'!$H$20:$H$299,"&lt;="&amp;X$7,'Invoices - Preopening'!$C$20:$C$299,'Model - Preopening &amp; Fees'!$B63)</f>
        <v>0</v>
      </c>
      <c r="Y63" s="115">
        <f>SUMIFS('Invoices - Preopening'!$I$20:$I$299,'Invoices - Preopening'!$H$20:$H$299,"&gt;="&amp;Y$6,'Invoices - Preopening'!$H$20:$H$299,"&lt;="&amp;Y$7,'Invoices - Preopening'!$C$20:$C$299,'Model - Preopening &amp; Fees'!$B63)</f>
        <v>0</v>
      </c>
      <c r="Z63" s="115">
        <f>SUMIFS('Invoices - Preopening'!$I$20:$I$299,'Invoices - Preopening'!$H$20:$H$299,"&gt;="&amp;Z$6,'Invoices - Preopening'!$H$20:$H$299,"&lt;="&amp;Z$7,'Invoices - Preopening'!$C$20:$C$299,'Model - Preopening &amp; Fees'!$B63)</f>
        <v>0</v>
      </c>
      <c r="AA63" s="115">
        <f>SUMIFS('Invoices - Preopening'!$I$20:$I$299,'Invoices - Preopening'!$H$20:$H$299,"&gt;="&amp;AA$6,'Invoices - Preopening'!$H$20:$H$299,"&lt;="&amp;AA$7,'Invoices - Preopening'!$C$20:$C$299,'Model - Preopening &amp; Fees'!$B63)</f>
        <v>0</v>
      </c>
      <c r="AB63" s="115">
        <f>SUMIFS('Invoices - Preopening'!$I$20:$I$299,'Invoices - Preopening'!$H$20:$H$299,"&gt;="&amp;AB$6,'Invoices - Preopening'!$H$20:$H$299,"&lt;="&amp;AB$7,'Invoices - Preopening'!$C$20:$C$299,'Model - Preopening &amp; Fees'!$B63)</f>
        <v>0</v>
      </c>
      <c r="AC63" s="115">
        <f>SUMIFS('Invoices - Preopening'!$I$20:$I$299,'Invoices - Preopening'!$H$20:$H$299,"&gt;="&amp;AC$6,'Invoices - Preopening'!$H$20:$H$299,"&lt;="&amp;AC$7,'Invoices - Preopening'!$C$20:$C$299,'Model - Preopening &amp; Fees'!$B63)</f>
        <v>0</v>
      </c>
      <c r="AD63" s="9">
        <v>0</v>
      </c>
      <c r="AE63" s="9">
        <v>0</v>
      </c>
      <c r="AF63" s="9">
        <v>2000</v>
      </c>
      <c r="AG63" s="9">
        <v>2000</v>
      </c>
      <c r="AH63" s="9">
        <v>2000</v>
      </c>
      <c r="AI63" s="9">
        <v>2000</v>
      </c>
      <c r="AJ63" s="9">
        <v>2000</v>
      </c>
      <c r="AK63" s="9">
        <v>2000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T63" s="24">
        <f t="shared" si="56"/>
        <v>0</v>
      </c>
      <c r="AU63" s="24">
        <f t="shared" si="56"/>
        <v>0</v>
      </c>
      <c r="AV63" s="24">
        <f t="shared" si="56"/>
        <v>0</v>
      </c>
      <c r="AW63" s="24">
        <f t="shared" si="56"/>
        <v>0</v>
      </c>
      <c r="AX63" s="24">
        <f t="shared" si="56"/>
        <v>0</v>
      </c>
      <c r="AY63" s="1">
        <f t="shared" si="56"/>
        <v>0</v>
      </c>
      <c r="AZ63" s="1">
        <f t="shared" si="56"/>
        <v>-2000</v>
      </c>
      <c r="BA63" s="1">
        <f t="shared" si="56"/>
        <v>-6000</v>
      </c>
      <c r="BB63" s="1">
        <f t="shared" si="56"/>
        <v>-4000</v>
      </c>
      <c r="BC63" s="1">
        <f t="shared" si="56"/>
        <v>0</v>
      </c>
      <c r="BD63" s="1">
        <f t="shared" si="56"/>
        <v>0</v>
      </c>
      <c r="BF63" s="1">
        <f t="shared" si="57"/>
        <v>-12000</v>
      </c>
    </row>
    <row r="64" spans="1:58" x14ac:dyDescent="0.25">
      <c r="A64">
        <v>1</v>
      </c>
      <c r="B64" s="21" t="s">
        <v>264</v>
      </c>
      <c r="C64" s="21"/>
      <c r="D64" s="2" t="s">
        <v>143</v>
      </c>
      <c r="E64" s="2" t="s">
        <v>144</v>
      </c>
      <c r="F64" s="9">
        <v>4000</v>
      </c>
      <c r="G64" s="59">
        <f t="shared" si="53"/>
        <v>0</v>
      </c>
      <c r="H64" s="1">
        <f t="shared" si="54"/>
        <v>0</v>
      </c>
      <c r="J64" s="1">
        <f t="shared" si="55"/>
        <v>0</v>
      </c>
      <c r="L64" s="115">
        <f>SUMIFS('Invoices - Preopening'!$I$20:$I$299,'Invoices - Preopening'!$H$20:$H$299,"&gt;="&amp;L$6,'Invoices - Preopening'!$H$20:$H$299,"&lt;="&amp;L$7,'Invoices - Preopening'!$C$20:$C$299,'Model - Preopening &amp; Fees'!$B64)</f>
        <v>0</v>
      </c>
      <c r="M64" s="115">
        <f>SUMIFS('Invoices - Preopening'!$I$20:$I$299,'Invoices - Preopening'!$H$20:$H$299,"&gt;="&amp;M$6,'Invoices - Preopening'!$H$20:$H$299,"&lt;="&amp;M$7,'Invoices - Preopening'!$C$20:$C$299,'Model - Preopening &amp; Fees'!$B64)</f>
        <v>0</v>
      </c>
      <c r="N64" s="115">
        <f>SUMIFS('Invoices - Preopening'!$I$20:$I$299,'Invoices - Preopening'!$H$20:$H$299,"&gt;="&amp;N$6,'Invoices - Preopening'!$H$20:$H$299,"&lt;="&amp;N$7,'Invoices - Preopening'!$C$20:$C$299,'Model - Preopening &amp; Fees'!$B64)</f>
        <v>0</v>
      </c>
      <c r="O64" s="115">
        <f>SUMIFS('Invoices - Preopening'!$I$20:$I$299,'Invoices - Preopening'!$H$20:$H$299,"&gt;="&amp;O$6,'Invoices - Preopening'!$H$20:$H$299,"&lt;="&amp;O$7,'Invoices - Preopening'!$C$20:$C$299,'Model - Preopening &amp; Fees'!$B64)</f>
        <v>0</v>
      </c>
      <c r="P64" s="115">
        <f>SUMIFS('Invoices - Preopening'!$I$20:$I$299,'Invoices - Preopening'!$H$20:$H$299,"&gt;="&amp;P$6,'Invoices - Preopening'!$H$20:$H$299,"&lt;="&amp;P$7,'Invoices - Preopening'!$C$20:$C$299,'Model - Preopening &amp; Fees'!$B64)</f>
        <v>0</v>
      </c>
      <c r="Q64" s="115">
        <f>SUMIFS('Invoices - Preopening'!$I$20:$I$299,'Invoices - Preopening'!$H$20:$H$299,"&gt;="&amp;Q$6,'Invoices - Preopening'!$H$20:$H$299,"&lt;="&amp;Q$7,'Invoices - Preopening'!$C$20:$C$299,'Model - Preopening &amp; Fees'!$B64)</f>
        <v>0</v>
      </c>
      <c r="R64" s="115">
        <f>SUMIFS('Invoices - Preopening'!$I$20:$I$299,'Invoices - Preopening'!$H$20:$H$299,"&gt;="&amp;R$6,'Invoices - Preopening'!$H$20:$H$299,"&lt;="&amp;R$7,'Invoices - Preopening'!$C$20:$C$299,'Model - Preopening &amp; Fees'!$B64)</f>
        <v>0</v>
      </c>
      <c r="S64" s="115">
        <f>SUMIFS('Invoices - Preopening'!$I$20:$I$299,'Invoices - Preopening'!$H$20:$H$299,"&gt;="&amp;S$6,'Invoices - Preopening'!$H$20:$H$299,"&lt;="&amp;S$7,'Invoices - Preopening'!$C$20:$C$299,'Model - Preopening &amp; Fees'!$B64)</f>
        <v>0</v>
      </c>
      <c r="T64" s="115">
        <f>SUMIFS('Invoices - Preopening'!$I$20:$I$299,'Invoices - Preopening'!$H$20:$H$299,"&gt;="&amp;T$6,'Invoices - Preopening'!$H$20:$H$299,"&lt;="&amp;T$7,'Invoices - Preopening'!$C$20:$C$299,'Model - Preopening &amp; Fees'!$B64)</f>
        <v>0</v>
      </c>
      <c r="U64" s="115">
        <f>SUMIFS('Invoices - Preopening'!$I$20:$I$299,'Invoices - Preopening'!$H$20:$H$299,"&gt;="&amp;U$6,'Invoices - Preopening'!$H$20:$H$299,"&lt;="&amp;U$7,'Invoices - Preopening'!$C$20:$C$299,'Model - Preopening &amp; Fees'!$B64)</f>
        <v>0</v>
      </c>
      <c r="V64" s="115">
        <f>SUMIFS('Invoices - Preopening'!$I$20:$I$299,'Invoices - Preopening'!$H$20:$H$299,"&gt;="&amp;V$6,'Invoices - Preopening'!$H$20:$H$299,"&lt;="&amp;V$7,'Invoices - Preopening'!$C$20:$C$299,'Model - Preopening &amp; Fees'!$B64)</f>
        <v>0</v>
      </c>
      <c r="W64" s="115">
        <f>SUMIFS('Invoices - Preopening'!$I$20:$I$299,'Invoices - Preopening'!$H$20:$H$299,"&gt;="&amp;W$6,'Invoices - Preopening'!$H$20:$H$299,"&lt;="&amp;W$7,'Invoices - Preopening'!$C$20:$C$299,'Model - Preopening &amp; Fees'!$B64)</f>
        <v>0</v>
      </c>
      <c r="X64" s="115">
        <f>SUMIFS('Invoices - Preopening'!$I$20:$I$299,'Invoices - Preopening'!$H$20:$H$299,"&gt;="&amp;X$6,'Invoices - Preopening'!$H$20:$H$299,"&lt;="&amp;X$7,'Invoices - Preopening'!$C$20:$C$299,'Model - Preopening &amp; Fees'!$B64)</f>
        <v>0</v>
      </c>
      <c r="Y64" s="115">
        <f>SUMIFS('Invoices - Preopening'!$I$20:$I$299,'Invoices - Preopening'!$H$20:$H$299,"&gt;="&amp;Y$6,'Invoices - Preopening'!$H$20:$H$299,"&lt;="&amp;Y$7,'Invoices - Preopening'!$C$20:$C$299,'Model - Preopening &amp; Fees'!$B64)</f>
        <v>0</v>
      </c>
      <c r="Z64" s="115">
        <f>SUMIFS('Invoices - Preopening'!$I$20:$I$299,'Invoices - Preopening'!$H$20:$H$299,"&gt;="&amp;Z$6,'Invoices - Preopening'!$H$20:$H$299,"&lt;="&amp;Z$7,'Invoices - Preopening'!$C$20:$C$299,'Model - Preopening &amp; Fees'!$B64)</f>
        <v>0</v>
      </c>
      <c r="AA64" s="115">
        <f>SUMIFS('Invoices - Preopening'!$I$20:$I$299,'Invoices - Preopening'!$H$20:$H$299,"&gt;="&amp;AA$6,'Invoices - Preopening'!$H$20:$H$299,"&lt;="&amp;AA$7,'Invoices - Preopening'!$C$20:$C$299,'Model - Preopening &amp; Fees'!$B64)</f>
        <v>0</v>
      </c>
      <c r="AB64" s="115">
        <f>SUMIFS('Invoices - Preopening'!$I$20:$I$299,'Invoices - Preopening'!$H$20:$H$299,"&gt;="&amp;AB$6,'Invoices - Preopening'!$H$20:$H$299,"&lt;="&amp;AB$7,'Invoices - Preopening'!$C$20:$C$299,'Model - Preopening &amp; Fees'!$B64)</f>
        <v>0</v>
      </c>
      <c r="AC64" s="115">
        <f>SUMIFS('Invoices - Preopening'!$I$20:$I$299,'Invoices - Preopening'!$H$20:$H$299,"&gt;="&amp;AC$6,'Invoices - Preopening'!$H$20:$H$299,"&lt;="&amp;AC$7,'Invoices - Preopening'!$C$20:$C$299,'Model - Preopening &amp; Fees'!$B64)</f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T64" s="24">
        <f t="shared" si="56"/>
        <v>0</v>
      </c>
      <c r="AU64" s="24">
        <f t="shared" si="56"/>
        <v>0</v>
      </c>
      <c r="AV64" s="24">
        <f t="shared" si="56"/>
        <v>0</v>
      </c>
      <c r="AW64" s="24">
        <f t="shared" si="56"/>
        <v>0</v>
      </c>
      <c r="AX64" s="24">
        <f t="shared" si="56"/>
        <v>0</v>
      </c>
      <c r="AY64" s="1">
        <f t="shared" si="56"/>
        <v>0</v>
      </c>
      <c r="AZ64" s="1">
        <f t="shared" si="56"/>
        <v>0</v>
      </c>
      <c r="BA64" s="1">
        <f t="shared" si="56"/>
        <v>0</v>
      </c>
      <c r="BB64" s="1">
        <f t="shared" si="56"/>
        <v>0</v>
      </c>
      <c r="BC64" s="1">
        <f t="shared" si="56"/>
        <v>0</v>
      </c>
      <c r="BD64" s="1">
        <f t="shared" si="56"/>
        <v>0</v>
      </c>
      <c r="BF64" s="1">
        <f t="shared" si="57"/>
        <v>0</v>
      </c>
    </row>
    <row r="65" spans="1:58" x14ac:dyDescent="0.25">
      <c r="A65">
        <v>1</v>
      </c>
      <c r="B65" s="22" t="s">
        <v>255</v>
      </c>
      <c r="C65" s="22"/>
      <c r="D65" s="54" t="s">
        <v>143</v>
      </c>
      <c r="E65" s="54" t="s">
        <v>144</v>
      </c>
      <c r="F65" s="55">
        <v>7000</v>
      </c>
      <c r="G65" s="60">
        <f t="shared" si="53"/>
        <v>0</v>
      </c>
      <c r="H65" s="18">
        <f t="shared" si="54"/>
        <v>7000</v>
      </c>
      <c r="J65" s="18">
        <f t="shared" si="55"/>
        <v>7000</v>
      </c>
      <c r="L65" s="116">
        <f>SUMIFS('Invoices - Preopening'!$I$20:$I$299,'Invoices - Preopening'!$H$20:$H$299,"&gt;="&amp;L$6,'Invoices - Preopening'!$H$20:$H$299,"&lt;="&amp;L$7,'Invoices - Preopening'!$C$20:$C$299,'Model - Preopening &amp; Fees'!$B65)</f>
        <v>0</v>
      </c>
      <c r="M65" s="116">
        <f>SUMIFS('Invoices - Preopening'!$I$20:$I$299,'Invoices - Preopening'!$H$20:$H$299,"&gt;="&amp;M$6,'Invoices - Preopening'!$H$20:$H$299,"&lt;="&amp;M$7,'Invoices - Preopening'!$C$20:$C$299,'Model - Preopening &amp; Fees'!$B65)</f>
        <v>0</v>
      </c>
      <c r="N65" s="116">
        <f>SUMIFS('Invoices - Preopening'!$I$20:$I$299,'Invoices - Preopening'!$H$20:$H$299,"&gt;="&amp;N$6,'Invoices - Preopening'!$H$20:$H$299,"&lt;="&amp;N$7,'Invoices - Preopening'!$C$20:$C$299,'Model - Preopening &amp; Fees'!$B65)</f>
        <v>0</v>
      </c>
      <c r="O65" s="116">
        <f>SUMIFS('Invoices - Preopening'!$I$20:$I$299,'Invoices - Preopening'!$H$20:$H$299,"&gt;="&amp;O$6,'Invoices - Preopening'!$H$20:$H$299,"&lt;="&amp;O$7,'Invoices - Preopening'!$C$20:$C$299,'Model - Preopening &amp; Fees'!$B65)</f>
        <v>0</v>
      </c>
      <c r="P65" s="116">
        <f>SUMIFS('Invoices - Preopening'!$I$20:$I$299,'Invoices - Preopening'!$H$20:$H$299,"&gt;="&amp;P$6,'Invoices - Preopening'!$H$20:$H$299,"&lt;="&amp;P$7,'Invoices - Preopening'!$C$20:$C$299,'Model - Preopening &amp; Fees'!$B65)</f>
        <v>0</v>
      </c>
      <c r="Q65" s="116">
        <f>SUMIFS('Invoices - Preopening'!$I$20:$I$299,'Invoices - Preopening'!$H$20:$H$299,"&gt;="&amp;Q$6,'Invoices - Preopening'!$H$20:$H$299,"&lt;="&amp;Q$7,'Invoices - Preopening'!$C$20:$C$299,'Model - Preopening &amp; Fees'!$B65)</f>
        <v>0</v>
      </c>
      <c r="R65" s="116">
        <f>SUMIFS('Invoices - Preopening'!$I$20:$I$299,'Invoices - Preopening'!$H$20:$H$299,"&gt;="&amp;R$6,'Invoices - Preopening'!$H$20:$H$299,"&lt;="&amp;R$7,'Invoices - Preopening'!$C$20:$C$299,'Model - Preopening &amp; Fees'!$B65)</f>
        <v>0</v>
      </c>
      <c r="S65" s="116">
        <f>SUMIFS('Invoices - Preopening'!$I$20:$I$299,'Invoices - Preopening'!$H$20:$H$299,"&gt;="&amp;S$6,'Invoices - Preopening'!$H$20:$H$299,"&lt;="&amp;S$7,'Invoices - Preopening'!$C$20:$C$299,'Model - Preopening &amp; Fees'!$B65)</f>
        <v>0</v>
      </c>
      <c r="T65" s="116">
        <f>SUMIFS('Invoices - Preopening'!$I$20:$I$299,'Invoices - Preopening'!$H$20:$H$299,"&gt;="&amp;T$6,'Invoices - Preopening'!$H$20:$H$299,"&lt;="&amp;T$7,'Invoices - Preopening'!$C$20:$C$299,'Model - Preopening &amp; Fees'!$B65)</f>
        <v>0</v>
      </c>
      <c r="U65" s="116">
        <f>SUMIFS('Invoices - Preopening'!$I$20:$I$299,'Invoices - Preopening'!$H$20:$H$299,"&gt;="&amp;U$6,'Invoices - Preopening'!$H$20:$H$299,"&lt;="&amp;U$7,'Invoices - Preopening'!$C$20:$C$299,'Model - Preopening &amp; Fees'!$B65)</f>
        <v>0</v>
      </c>
      <c r="V65" s="116">
        <f>SUMIFS('Invoices - Preopening'!$I$20:$I$299,'Invoices - Preopening'!$H$20:$H$299,"&gt;="&amp;V$6,'Invoices - Preopening'!$H$20:$H$299,"&lt;="&amp;V$7,'Invoices - Preopening'!$C$20:$C$299,'Model - Preopening &amp; Fees'!$B65)</f>
        <v>0</v>
      </c>
      <c r="W65" s="116">
        <f>SUMIFS('Invoices - Preopening'!$I$20:$I$299,'Invoices - Preopening'!$H$20:$H$299,"&gt;="&amp;W$6,'Invoices - Preopening'!$H$20:$H$299,"&lt;="&amp;W$7,'Invoices - Preopening'!$C$20:$C$299,'Model - Preopening &amp; Fees'!$B65)</f>
        <v>0</v>
      </c>
      <c r="X65" s="116">
        <f>SUMIFS('Invoices - Preopening'!$I$20:$I$299,'Invoices - Preopening'!$H$20:$H$299,"&gt;="&amp;X$6,'Invoices - Preopening'!$H$20:$H$299,"&lt;="&amp;X$7,'Invoices - Preopening'!$C$20:$C$299,'Model - Preopening &amp; Fees'!$B65)</f>
        <v>0</v>
      </c>
      <c r="Y65" s="116">
        <f>SUMIFS('Invoices - Preopening'!$I$20:$I$299,'Invoices - Preopening'!$H$20:$H$299,"&gt;="&amp;Y$6,'Invoices - Preopening'!$H$20:$H$299,"&lt;="&amp;Y$7,'Invoices - Preopening'!$C$20:$C$299,'Model - Preopening &amp; Fees'!$B65)</f>
        <v>0</v>
      </c>
      <c r="Z65" s="116">
        <f>SUMIFS('Invoices - Preopening'!$I$20:$I$299,'Invoices - Preopening'!$H$20:$H$299,"&gt;="&amp;Z$6,'Invoices - Preopening'!$H$20:$H$299,"&lt;="&amp;Z$7,'Invoices - Preopening'!$C$20:$C$299,'Model - Preopening &amp; Fees'!$B65)</f>
        <v>0</v>
      </c>
      <c r="AA65" s="116">
        <f>SUMIFS('Invoices - Preopening'!$I$20:$I$299,'Invoices - Preopening'!$H$20:$H$299,"&gt;="&amp;AA$6,'Invoices - Preopening'!$H$20:$H$299,"&lt;="&amp;AA$7,'Invoices - Preopening'!$C$20:$C$299,'Model - Preopening &amp; Fees'!$B65)</f>
        <v>0</v>
      </c>
      <c r="AB65" s="116">
        <f>SUMIFS('Invoices - Preopening'!$I$20:$I$299,'Invoices - Preopening'!$H$20:$H$299,"&gt;="&amp;AB$6,'Invoices - Preopening'!$H$20:$H$299,"&lt;="&amp;AB$7,'Invoices - Preopening'!$C$20:$C$299,'Model - Preopening &amp; Fees'!$B65)</f>
        <v>0</v>
      </c>
      <c r="AC65" s="116">
        <f>SUMIFS('Invoices - Preopening'!$I$20:$I$299,'Invoices - Preopening'!$H$20:$H$299,"&gt;="&amp;AC$6,'Invoices - Preopening'!$H$20:$H$299,"&lt;="&amp;AC$7,'Invoices - Preopening'!$C$20:$C$299,'Model - Preopening &amp; Fees'!$B65)</f>
        <v>0</v>
      </c>
      <c r="AD65" s="55">
        <v>0</v>
      </c>
      <c r="AE65" s="55">
        <v>1000</v>
      </c>
      <c r="AF65" s="55">
        <v>1000</v>
      </c>
      <c r="AG65" s="55">
        <v>1000</v>
      </c>
      <c r="AH65" s="55">
        <v>1000</v>
      </c>
      <c r="AI65" s="55">
        <v>1000</v>
      </c>
      <c r="AJ65" s="55">
        <v>1000</v>
      </c>
      <c r="AK65" s="55">
        <v>1000</v>
      </c>
      <c r="AL65" s="55">
        <v>0</v>
      </c>
      <c r="AM65" s="55">
        <v>0</v>
      </c>
      <c r="AN65" s="55">
        <v>0</v>
      </c>
      <c r="AO65" s="55">
        <v>0</v>
      </c>
      <c r="AP65" s="55">
        <v>0</v>
      </c>
      <c r="AQ65" s="55">
        <v>0</v>
      </c>
      <c r="AR65" s="55">
        <v>0</v>
      </c>
      <c r="AT65" s="25">
        <f t="shared" si="56"/>
        <v>0</v>
      </c>
      <c r="AU65" s="25">
        <f t="shared" si="56"/>
        <v>0</v>
      </c>
      <c r="AV65" s="25">
        <f t="shared" si="56"/>
        <v>0</v>
      </c>
      <c r="AW65" s="25">
        <f t="shared" si="56"/>
        <v>0</v>
      </c>
      <c r="AX65" s="25">
        <f t="shared" si="56"/>
        <v>0</v>
      </c>
      <c r="AY65" s="18">
        <f t="shared" si="56"/>
        <v>0</v>
      </c>
      <c r="AZ65" s="18">
        <f t="shared" si="56"/>
        <v>-2000</v>
      </c>
      <c r="BA65" s="18">
        <f t="shared" si="56"/>
        <v>-3000</v>
      </c>
      <c r="BB65" s="18">
        <f t="shared" si="56"/>
        <v>-2000</v>
      </c>
      <c r="BC65" s="18">
        <f t="shared" si="56"/>
        <v>0</v>
      </c>
      <c r="BD65" s="18">
        <f t="shared" si="56"/>
        <v>0</v>
      </c>
      <c r="BF65" s="18">
        <f t="shared" si="57"/>
        <v>-7000</v>
      </c>
    </row>
    <row r="66" spans="1:58" s="20" customFormat="1" x14ac:dyDescent="0.25">
      <c r="B66" s="20" t="s">
        <v>145</v>
      </c>
      <c r="F66" s="15">
        <f t="shared" ref="F66:G66" si="60">SUM(F57:F65)</f>
        <v>75000</v>
      </c>
      <c r="G66" s="15">
        <f t="shared" si="60"/>
        <v>36335.5</v>
      </c>
      <c r="H66" s="15">
        <f>SUM(H57:H65)</f>
        <v>47000</v>
      </c>
      <c r="J66" s="15">
        <f t="shared" si="55"/>
        <v>83335.5</v>
      </c>
      <c r="L66" s="15">
        <f>SUM(L57:L65)</f>
        <v>0</v>
      </c>
      <c r="M66" s="15">
        <f t="shared" ref="M66:AR66" si="61">SUM(M57:M65)</f>
        <v>0</v>
      </c>
      <c r="N66" s="15">
        <f t="shared" si="61"/>
        <v>0</v>
      </c>
      <c r="O66" s="15">
        <f t="shared" si="61"/>
        <v>0</v>
      </c>
      <c r="P66" s="15">
        <f t="shared" si="61"/>
        <v>0</v>
      </c>
      <c r="Q66" s="15">
        <f t="shared" si="61"/>
        <v>0</v>
      </c>
      <c r="R66" s="15">
        <f t="shared" si="61"/>
        <v>0</v>
      </c>
      <c r="S66" s="15">
        <f t="shared" si="61"/>
        <v>0</v>
      </c>
      <c r="T66" s="15">
        <f t="shared" si="61"/>
        <v>0</v>
      </c>
      <c r="U66" s="15">
        <f t="shared" si="61"/>
        <v>0</v>
      </c>
      <c r="V66" s="15">
        <f t="shared" si="61"/>
        <v>0</v>
      </c>
      <c r="W66" s="15">
        <f t="shared" si="61"/>
        <v>29500</v>
      </c>
      <c r="X66" s="15">
        <f t="shared" si="61"/>
        <v>0</v>
      </c>
      <c r="Y66" s="15">
        <f t="shared" si="61"/>
        <v>0</v>
      </c>
      <c r="Z66" s="15">
        <f t="shared" si="61"/>
        <v>6835.5</v>
      </c>
      <c r="AA66" s="15">
        <f t="shared" si="61"/>
        <v>0</v>
      </c>
      <c r="AB66" s="15">
        <f t="shared" si="61"/>
        <v>0</v>
      </c>
      <c r="AC66" s="15">
        <f t="shared" si="61"/>
        <v>0</v>
      </c>
      <c r="AD66" s="15">
        <f t="shared" si="61"/>
        <v>16000</v>
      </c>
      <c r="AE66" s="15">
        <f t="shared" si="61"/>
        <v>1000</v>
      </c>
      <c r="AF66" s="15">
        <f t="shared" si="61"/>
        <v>5000</v>
      </c>
      <c r="AG66" s="15">
        <f t="shared" si="61"/>
        <v>5000</v>
      </c>
      <c r="AH66" s="15">
        <f t="shared" si="61"/>
        <v>5000</v>
      </c>
      <c r="AI66" s="15">
        <f t="shared" si="61"/>
        <v>5000</v>
      </c>
      <c r="AJ66" s="15">
        <f t="shared" si="61"/>
        <v>5000</v>
      </c>
      <c r="AK66" s="15">
        <f t="shared" si="61"/>
        <v>5000</v>
      </c>
      <c r="AL66" s="15">
        <f t="shared" si="61"/>
        <v>0</v>
      </c>
      <c r="AM66" s="15">
        <f t="shared" si="61"/>
        <v>0</v>
      </c>
      <c r="AN66" s="15">
        <f t="shared" si="61"/>
        <v>0</v>
      </c>
      <c r="AO66" s="15">
        <f t="shared" si="61"/>
        <v>0</v>
      </c>
      <c r="AP66" s="15">
        <f t="shared" si="61"/>
        <v>0</v>
      </c>
      <c r="AQ66" s="15">
        <f t="shared" si="61"/>
        <v>0</v>
      </c>
      <c r="AR66" s="15">
        <f t="shared" si="61"/>
        <v>0</v>
      </c>
      <c r="AT66" s="15">
        <f t="shared" ref="AT66:BD66" si="62">SUM(AT57:AT65)</f>
        <v>0</v>
      </c>
      <c r="AU66" s="15">
        <f t="shared" si="62"/>
        <v>0</v>
      </c>
      <c r="AV66" s="15">
        <f t="shared" si="62"/>
        <v>0</v>
      </c>
      <c r="AW66" s="15">
        <f t="shared" si="62"/>
        <v>-29500</v>
      </c>
      <c r="AX66" s="15">
        <f t="shared" si="62"/>
        <v>-6835.5</v>
      </c>
      <c r="AY66" s="15">
        <f t="shared" si="62"/>
        <v>0</v>
      </c>
      <c r="AZ66" s="15">
        <f t="shared" si="62"/>
        <v>-22000</v>
      </c>
      <c r="BA66" s="15">
        <f t="shared" si="62"/>
        <v>-15000</v>
      </c>
      <c r="BB66" s="15">
        <f t="shared" si="62"/>
        <v>-10000</v>
      </c>
      <c r="BC66" s="15">
        <f t="shared" si="62"/>
        <v>0</v>
      </c>
      <c r="BD66" s="15">
        <f t="shared" si="62"/>
        <v>0</v>
      </c>
      <c r="BF66" s="15">
        <f t="shared" si="57"/>
        <v>-83335.5</v>
      </c>
    </row>
    <row r="68" spans="1:58" x14ac:dyDescent="0.25">
      <c r="B68" s="4" t="s">
        <v>146</v>
      </c>
      <c r="C68" s="4"/>
      <c r="D68" s="53"/>
      <c r="E68" s="53"/>
      <c r="F68" s="53"/>
      <c r="G68" s="53"/>
      <c r="H68" s="53"/>
      <c r="J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0"/>
      <c r="AN68" s="140"/>
      <c r="AO68" s="140"/>
      <c r="AP68" s="140"/>
      <c r="AQ68" s="140"/>
      <c r="AR68" s="140"/>
      <c r="AT68" s="140"/>
      <c r="AU68" s="140"/>
      <c r="AV68" s="140"/>
      <c r="AW68" s="140"/>
      <c r="AX68" s="140"/>
      <c r="AY68" s="140"/>
      <c r="AZ68" s="140"/>
      <c r="BA68" s="140"/>
      <c r="BB68" s="140"/>
      <c r="BC68" s="140"/>
      <c r="BD68" s="140"/>
      <c r="BF68" s="140"/>
    </row>
    <row r="70" spans="1:58" s="20" customFormat="1" x14ac:dyDescent="0.25">
      <c r="B70" s="57" t="s">
        <v>120</v>
      </c>
      <c r="C70" s="57"/>
      <c r="D70" s="58" t="s">
        <v>121</v>
      </c>
      <c r="E70" s="58"/>
      <c r="F70" s="58" t="s">
        <v>120</v>
      </c>
      <c r="G70" s="58" t="s">
        <v>123</v>
      </c>
      <c r="H70" s="58" t="s">
        <v>124</v>
      </c>
      <c r="J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F70" s="58"/>
    </row>
    <row r="71" spans="1:58" x14ac:dyDescent="0.25">
      <c r="J71" s="1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F71" s="9"/>
    </row>
    <row r="72" spans="1:58" x14ac:dyDescent="0.25">
      <c r="B72" s="141" t="s">
        <v>147</v>
      </c>
      <c r="C72" s="141"/>
      <c r="D72" s="142"/>
      <c r="E72" s="142"/>
      <c r="F72" s="141"/>
      <c r="G72" s="141"/>
      <c r="H72" s="141"/>
      <c r="J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F72" s="141"/>
    </row>
    <row r="73" spans="1:58" x14ac:dyDescent="0.25">
      <c r="A73">
        <v>1</v>
      </c>
      <c r="B73" s="21" t="s">
        <v>148</v>
      </c>
      <c r="C73" s="21"/>
      <c r="D73" s="2" t="s">
        <v>146</v>
      </c>
      <c r="E73" s="2" t="s">
        <v>149</v>
      </c>
      <c r="F73" s="9">
        <v>16800</v>
      </c>
      <c r="G73" s="59">
        <f t="shared" ref="G73:G75" si="63">SUMIFS($L73:$AR73,$L$7:$AR$7,"&lt;="&amp;$J$4)</f>
        <v>0</v>
      </c>
      <c r="H73" s="59">
        <f t="shared" ref="H73:H75" si="64">J73-G73</f>
        <v>12800</v>
      </c>
      <c r="J73" s="1">
        <f t="shared" ref="J73:J85" si="65">SUM(L73:AR73)</f>
        <v>12800</v>
      </c>
      <c r="L73" s="115">
        <f>SUMIFS('Invoices - Preopening'!$I$20:$I$299,'Invoices - Preopening'!$H$20:$H$299,"&gt;="&amp;L$6,'Invoices - Preopening'!$H$20:$H$299,"&lt;="&amp;L$7,'Invoices - Preopening'!$C$20:$C$299,'Model - Preopening &amp; Fees'!$B73)</f>
        <v>0</v>
      </c>
      <c r="M73" s="115">
        <f>SUMIFS('Invoices - Preopening'!$I$20:$I$299,'Invoices - Preopening'!$H$20:$H$299,"&gt;="&amp;M$6,'Invoices - Preopening'!$H$20:$H$299,"&lt;="&amp;M$7,'Invoices - Preopening'!$C$20:$C$299,'Model - Preopening &amp; Fees'!$B73)</f>
        <v>0</v>
      </c>
      <c r="N73" s="115">
        <f>SUMIFS('Invoices - Preopening'!$I$20:$I$299,'Invoices - Preopening'!$H$20:$H$299,"&gt;="&amp;N$6,'Invoices - Preopening'!$H$20:$H$299,"&lt;="&amp;N$7,'Invoices - Preopening'!$C$20:$C$299,'Model - Preopening &amp; Fees'!$B73)</f>
        <v>0</v>
      </c>
      <c r="O73" s="115">
        <f>SUMIFS('Invoices - Preopening'!$I$20:$I$299,'Invoices - Preopening'!$H$20:$H$299,"&gt;="&amp;O$6,'Invoices - Preopening'!$H$20:$H$299,"&lt;="&amp;O$7,'Invoices - Preopening'!$C$20:$C$299,'Model - Preopening &amp; Fees'!$B73)</f>
        <v>0</v>
      </c>
      <c r="P73" s="115">
        <f>SUMIFS('Invoices - Preopening'!$I$20:$I$299,'Invoices - Preopening'!$H$20:$H$299,"&gt;="&amp;P$6,'Invoices - Preopening'!$H$20:$H$299,"&lt;="&amp;P$7,'Invoices - Preopening'!$C$20:$C$299,'Model - Preopening &amp; Fees'!$B73)</f>
        <v>0</v>
      </c>
      <c r="Q73" s="115">
        <f>SUMIFS('Invoices - Preopening'!$I$20:$I$299,'Invoices - Preopening'!$H$20:$H$299,"&gt;="&amp;Q$6,'Invoices - Preopening'!$H$20:$H$299,"&lt;="&amp;Q$7,'Invoices - Preopening'!$C$20:$C$299,'Model - Preopening &amp; Fees'!$B73)</f>
        <v>0</v>
      </c>
      <c r="R73" s="115">
        <f>SUMIFS('Invoices - Preopening'!$I$20:$I$299,'Invoices - Preopening'!$H$20:$H$299,"&gt;="&amp;R$6,'Invoices - Preopening'!$H$20:$H$299,"&lt;="&amp;R$7,'Invoices - Preopening'!$C$20:$C$299,'Model - Preopening &amp; Fees'!$B73)</f>
        <v>0</v>
      </c>
      <c r="S73" s="115">
        <f>SUMIFS('Invoices - Preopening'!$I$20:$I$299,'Invoices - Preopening'!$H$20:$H$299,"&gt;="&amp;S$6,'Invoices - Preopening'!$H$20:$H$299,"&lt;="&amp;S$7,'Invoices - Preopening'!$C$20:$C$299,'Model - Preopening &amp; Fees'!$B73)</f>
        <v>0</v>
      </c>
      <c r="T73" s="115">
        <f>SUMIFS('Invoices - Preopening'!$I$20:$I$299,'Invoices - Preopening'!$H$20:$H$299,"&gt;="&amp;T$6,'Invoices - Preopening'!$H$20:$H$299,"&lt;="&amp;T$7,'Invoices - Preopening'!$C$20:$C$299,'Model - Preopening &amp; Fees'!$B73)</f>
        <v>0</v>
      </c>
      <c r="U73" s="115">
        <f>SUMIFS('Invoices - Preopening'!$I$20:$I$299,'Invoices - Preopening'!$H$20:$H$299,"&gt;="&amp;U$6,'Invoices - Preopening'!$H$20:$H$299,"&lt;="&amp;U$7,'Invoices - Preopening'!$C$20:$C$299,'Model - Preopening &amp; Fees'!$B73)</f>
        <v>0</v>
      </c>
      <c r="V73" s="115">
        <f>SUMIFS('Invoices - Preopening'!$I$20:$I$299,'Invoices - Preopening'!$H$20:$H$299,"&gt;="&amp;V$6,'Invoices - Preopening'!$H$20:$H$299,"&lt;="&amp;V$7,'Invoices - Preopening'!$C$20:$C$299,'Model - Preopening &amp; Fees'!$B73)</f>
        <v>0</v>
      </c>
      <c r="W73" s="115">
        <f>SUMIFS('Invoices - Preopening'!$I$20:$I$299,'Invoices - Preopening'!$H$20:$H$299,"&gt;="&amp;W$6,'Invoices - Preopening'!$H$20:$H$299,"&lt;="&amp;W$7,'Invoices - Preopening'!$C$20:$C$299,'Model - Preopening &amp; Fees'!$B73)</f>
        <v>0</v>
      </c>
      <c r="X73" s="115">
        <f>SUMIFS('Invoices - Preopening'!$I$20:$I$299,'Invoices - Preopening'!$H$20:$H$299,"&gt;="&amp;X$6,'Invoices - Preopening'!$H$20:$H$299,"&lt;="&amp;X$7,'Invoices - Preopening'!$C$20:$C$299,'Model - Preopening &amp; Fees'!$B73)</f>
        <v>0</v>
      </c>
      <c r="Y73" s="115">
        <f>SUMIFS('Invoices - Preopening'!$I$20:$I$299,'Invoices - Preopening'!$H$20:$H$299,"&gt;="&amp;Y$6,'Invoices - Preopening'!$H$20:$H$299,"&lt;="&amp;Y$7,'Invoices - Preopening'!$C$20:$C$299,'Model - Preopening &amp; Fees'!$B73)</f>
        <v>0</v>
      </c>
      <c r="Z73" s="115">
        <f>SUMIFS('Invoices - Preopening'!$I$20:$I$299,'Invoices - Preopening'!$H$20:$H$299,"&gt;="&amp;Z$6,'Invoices - Preopening'!$H$20:$H$299,"&lt;="&amp;Z$7,'Invoices - Preopening'!$C$20:$C$299,'Model - Preopening &amp; Fees'!$B73)</f>
        <v>0</v>
      </c>
      <c r="AA73" s="115">
        <f>SUMIFS('Invoices - Preopening'!$I$20:$I$299,'Invoices - Preopening'!$H$20:$H$299,"&gt;="&amp;AA$6,'Invoices - Preopening'!$H$20:$H$299,"&lt;="&amp;AA$7,'Invoices - Preopening'!$C$20:$C$299,'Model - Preopening &amp; Fees'!$B73)</f>
        <v>0</v>
      </c>
      <c r="AB73" s="115">
        <f>SUMIFS('Invoices - Preopening'!$I$20:$I$299,'Invoices - Preopening'!$H$20:$H$299,"&gt;="&amp;AB$6,'Invoices - Preopening'!$H$20:$H$299,"&lt;="&amp;AB$7,'Invoices - Preopening'!$C$20:$C$299,'Model - Preopening &amp; Fees'!$B73)</f>
        <v>0</v>
      </c>
      <c r="AC73" s="115">
        <f>SUMIFS('Invoices - Preopening'!$I$20:$I$299,'Invoices - Preopening'!$H$20:$H$299,"&gt;="&amp;AC$6,'Invoices - Preopening'!$H$20:$H$299,"&lt;="&amp;AC$7,'Invoices - Preopening'!$C$20:$C$299,'Model - Preopening &amp; Fees'!$B73)</f>
        <v>0</v>
      </c>
      <c r="AD73" s="9">
        <v>0</v>
      </c>
      <c r="AE73" s="9">
        <v>0</v>
      </c>
      <c r="AF73" s="9">
        <v>0</v>
      </c>
      <c r="AG73" s="9">
        <v>0</v>
      </c>
      <c r="AH73" s="9">
        <v>5000</v>
      </c>
      <c r="AI73" s="9">
        <v>5000</v>
      </c>
      <c r="AJ73" s="9">
        <v>2800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T73" s="24">
        <f t="shared" ref="AT73:BD75" si="66">-SUMIFS($L73:$AR73,$L$5:$AR$5,AT$5)</f>
        <v>0</v>
      </c>
      <c r="AU73" s="24">
        <f t="shared" si="66"/>
        <v>0</v>
      </c>
      <c r="AV73" s="24">
        <f t="shared" si="66"/>
        <v>0</v>
      </c>
      <c r="AW73" s="24">
        <f t="shared" si="66"/>
        <v>0</v>
      </c>
      <c r="AX73" s="24">
        <f t="shared" si="66"/>
        <v>0</v>
      </c>
      <c r="AY73" s="1">
        <f t="shared" si="66"/>
        <v>0</v>
      </c>
      <c r="AZ73" s="1">
        <f t="shared" si="66"/>
        <v>0</v>
      </c>
      <c r="BA73" s="1">
        <f t="shared" si="66"/>
        <v>-10000</v>
      </c>
      <c r="BB73" s="1">
        <f t="shared" si="66"/>
        <v>-2800</v>
      </c>
      <c r="BC73" s="1">
        <f t="shared" si="66"/>
        <v>0</v>
      </c>
      <c r="BD73" s="1">
        <f t="shared" si="66"/>
        <v>0</v>
      </c>
      <c r="BF73" s="1">
        <f t="shared" si="57"/>
        <v>-12800</v>
      </c>
    </row>
    <row r="74" spans="1:58" x14ac:dyDescent="0.25">
      <c r="A74">
        <v>1</v>
      </c>
      <c r="B74" s="21" t="s">
        <v>150</v>
      </c>
      <c r="C74" s="21"/>
      <c r="D74" s="2" t="s">
        <v>146</v>
      </c>
      <c r="E74" s="2" t="s">
        <v>149</v>
      </c>
      <c r="F74" s="9">
        <v>12000</v>
      </c>
      <c r="G74" s="59">
        <f t="shared" si="63"/>
        <v>0</v>
      </c>
      <c r="H74" s="59">
        <f t="shared" si="64"/>
        <v>12000</v>
      </c>
      <c r="J74" s="1">
        <f t="shared" si="65"/>
        <v>12000</v>
      </c>
      <c r="L74" s="115">
        <f>SUMIFS('Invoices - Preopening'!$I$20:$I$299,'Invoices - Preopening'!$H$20:$H$299,"&gt;="&amp;L$6,'Invoices - Preopening'!$H$20:$H$299,"&lt;="&amp;L$7,'Invoices - Preopening'!$C$20:$C$299,'Model - Preopening &amp; Fees'!$B74)</f>
        <v>0</v>
      </c>
      <c r="M74" s="115">
        <f>SUMIFS('Invoices - Preopening'!$I$20:$I$299,'Invoices - Preopening'!$H$20:$H$299,"&gt;="&amp;M$6,'Invoices - Preopening'!$H$20:$H$299,"&lt;="&amp;M$7,'Invoices - Preopening'!$C$20:$C$299,'Model - Preopening &amp; Fees'!$B74)</f>
        <v>0</v>
      </c>
      <c r="N74" s="115">
        <f>SUMIFS('Invoices - Preopening'!$I$20:$I$299,'Invoices - Preopening'!$H$20:$H$299,"&gt;="&amp;N$6,'Invoices - Preopening'!$H$20:$H$299,"&lt;="&amp;N$7,'Invoices - Preopening'!$C$20:$C$299,'Model - Preopening &amp; Fees'!$B74)</f>
        <v>0</v>
      </c>
      <c r="O74" s="115">
        <f>SUMIFS('Invoices - Preopening'!$I$20:$I$299,'Invoices - Preopening'!$H$20:$H$299,"&gt;="&amp;O$6,'Invoices - Preopening'!$H$20:$H$299,"&lt;="&amp;O$7,'Invoices - Preopening'!$C$20:$C$299,'Model - Preopening &amp; Fees'!$B74)</f>
        <v>0</v>
      </c>
      <c r="P74" s="115">
        <f>SUMIFS('Invoices - Preopening'!$I$20:$I$299,'Invoices - Preopening'!$H$20:$H$299,"&gt;="&amp;P$6,'Invoices - Preopening'!$H$20:$H$299,"&lt;="&amp;P$7,'Invoices - Preopening'!$C$20:$C$299,'Model - Preopening &amp; Fees'!$B74)</f>
        <v>0</v>
      </c>
      <c r="Q74" s="115">
        <f>SUMIFS('Invoices - Preopening'!$I$20:$I$299,'Invoices - Preopening'!$H$20:$H$299,"&gt;="&amp;Q$6,'Invoices - Preopening'!$H$20:$H$299,"&lt;="&amp;Q$7,'Invoices - Preopening'!$C$20:$C$299,'Model - Preopening &amp; Fees'!$B74)</f>
        <v>0</v>
      </c>
      <c r="R74" s="115">
        <f>SUMIFS('Invoices - Preopening'!$I$20:$I$299,'Invoices - Preopening'!$H$20:$H$299,"&gt;="&amp;R$6,'Invoices - Preopening'!$H$20:$H$299,"&lt;="&amp;R$7,'Invoices - Preopening'!$C$20:$C$299,'Model - Preopening &amp; Fees'!$B74)</f>
        <v>0</v>
      </c>
      <c r="S74" s="115">
        <f>SUMIFS('Invoices - Preopening'!$I$20:$I$299,'Invoices - Preopening'!$H$20:$H$299,"&gt;="&amp;S$6,'Invoices - Preopening'!$H$20:$H$299,"&lt;="&amp;S$7,'Invoices - Preopening'!$C$20:$C$299,'Model - Preopening &amp; Fees'!$B74)</f>
        <v>0</v>
      </c>
      <c r="T74" s="115">
        <f>SUMIFS('Invoices - Preopening'!$I$20:$I$299,'Invoices - Preopening'!$H$20:$H$299,"&gt;="&amp;T$6,'Invoices - Preopening'!$H$20:$H$299,"&lt;="&amp;T$7,'Invoices - Preopening'!$C$20:$C$299,'Model - Preopening &amp; Fees'!$B74)</f>
        <v>0</v>
      </c>
      <c r="U74" s="115">
        <f>SUMIFS('Invoices - Preopening'!$I$20:$I$299,'Invoices - Preopening'!$H$20:$H$299,"&gt;="&amp;U$6,'Invoices - Preopening'!$H$20:$H$299,"&lt;="&amp;U$7,'Invoices - Preopening'!$C$20:$C$299,'Model - Preopening &amp; Fees'!$B74)</f>
        <v>0</v>
      </c>
      <c r="V74" s="115">
        <f>SUMIFS('Invoices - Preopening'!$I$20:$I$299,'Invoices - Preopening'!$H$20:$H$299,"&gt;="&amp;V$6,'Invoices - Preopening'!$H$20:$H$299,"&lt;="&amp;V$7,'Invoices - Preopening'!$C$20:$C$299,'Model - Preopening &amp; Fees'!$B74)</f>
        <v>0</v>
      </c>
      <c r="W74" s="115">
        <f>SUMIFS('Invoices - Preopening'!$I$20:$I$299,'Invoices - Preopening'!$H$20:$H$299,"&gt;="&amp;W$6,'Invoices - Preopening'!$H$20:$H$299,"&lt;="&amp;W$7,'Invoices - Preopening'!$C$20:$C$299,'Model - Preopening &amp; Fees'!$B74)</f>
        <v>0</v>
      </c>
      <c r="X74" s="115">
        <f>SUMIFS('Invoices - Preopening'!$I$20:$I$299,'Invoices - Preopening'!$H$20:$H$299,"&gt;="&amp;X$6,'Invoices - Preopening'!$H$20:$H$299,"&lt;="&amp;X$7,'Invoices - Preopening'!$C$20:$C$299,'Model - Preopening &amp; Fees'!$B74)</f>
        <v>0</v>
      </c>
      <c r="Y74" s="115">
        <f>SUMIFS('Invoices - Preopening'!$I$20:$I$299,'Invoices - Preopening'!$H$20:$H$299,"&gt;="&amp;Y$6,'Invoices - Preopening'!$H$20:$H$299,"&lt;="&amp;Y$7,'Invoices - Preopening'!$C$20:$C$299,'Model - Preopening &amp; Fees'!$B74)</f>
        <v>0</v>
      </c>
      <c r="Z74" s="115">
        <f>SUMIFS('Invoices - Preopening'!$I$20:$I$299,'Invoices - Preopening'!$H$20:$H$299,"&gt;="&amp;Z$6,'Invoices - Preopening'!$H$20:$H$299,"&lt;="&amp;Z$7,'Invoices - Preopening'!$C$20:$C$299,'Model - Preopening &amp; Fees'!$B74)</f>
        <v>0</v>
      </c>
      <c r="AA74" s="115">
        <f>SUMIFS('Invoices - Preopening'!$I$20:$I$299,'Invoices - Preopening'!$H$20:$H$299,"&gt;="&amp;AA$6,'Invoices - Preopening'!$H$20:$H$299,"&lt;="&amp;AA$7,'Invoices - Preopening'!$C$20:$C$299,'Model - Preopening &amp; Fees'!$B74)</f>
        <v>0</v>
      </c>
      <c r="AB74" s="115">
        <f>SUMIFS('Invoices - Preopening'!$I$20:$I$299,'Invoices - Preopening'!$H$20:$H$299,"&gt;="&amp;AB$6,'Invoices - Preopening'!$H$20:$H$299,"&lt;="&amp;AB$7,'Invoices - Preopening'!$C$20:$C$299,'Model - Preopening &amp; Fees'!$B74)</f>
        <v>0</v>
      </c>
      <c r="AC74" s="115">
        <f>SUMIFS('Invoices - Preopening'!$I$20:$I$299,'Invoices - Preopening'!$H$20:$H$299,"&gt;="&amp;AC$6,'Invoices - Preopening'!$H$20:$H$299,"&lt;="&amp;AC$7,'Invoices - Preopening'!$C$20:$C$299,'Model - Preopening &amp; Fees'!$B74)</f>
        <v>0</v>
      </c>
      <c r="AD74" s="9">
        <v>0</v>
      </c>
      <c r="AE74" s="9">
        <v>0</v>
      </c>
      <c r="AF74" s="9">
        <v>0</v>
      </c>
      <c r="AG74" s="9">
        <v>2000</v>
      </c>
      <c r="AH74" s="9">
        <v>3000</v>
      </c>
      <c r="AI74" s="9">
        <v>3000</v>
      </c>
      <c r="AJ74" s="9">
        <v>4000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T74" s="24">
        <f t="shared" si="66"/>
        <v>0</v>
      </c>
      <c r="AU74" s="24">
        <f t="shared" si="66"/>
        <v>0</v>
      </c>
      <c r="AV74" s="24">
        <f t="shared" si="66"/>
        <v>0</v>
      </c>
      <c r="AW74" s="24">
        <f t="shared" si="66"/>
        <v>0</v>
      </c>
      <c r="AX74" s="24">
        <f t="shared" si="66"/>
        <v>0</v>
      </c>
      <c r="AY74" s="1">
        <f t="shared" si="66"/>
        <v>0</v>
      </c>
      <c r="AZ74" s="1">
        <f t="shared" si="66"/>
        <v>0</v>
      </c>
      <c r="BA74" s="1">
        <f t="shared" si="66"/>
        <v>-8000</v>
      </c>
      <c r="BB74" s="1">
        <f t="shared" si="66"/>
        <v>-4000</v>
      </c>
      <c r="BC74" s="1">
        <f t="shared" si="66"/>
        <v>0</v>
      </c>
      <c r="BD74" s="1">
        <f t="shared" si="66"/>
        <v>0</v>
      </c>
      <c r="BF74" s="1">
        <f t="shared" si="57"/>
        <v>-12000</v>
      </c>
    </row>
    <row r="75" spans="1:58" x14ac:dyDescent="0.25">
      <c r="A75">
        <v>1</v>
      </c>
      <c r="B75" s="21" t="s">
        <v>151</v>
      </c>
      <c r="C75" s="21"/>
      <c r="D75" s="2" t="s">
        <v>146</v>
      </c>
      <c r="E75" s="2" t="s">
        <v>149</v>
      </c>
      <c r="F75" s="9">
        <v>1500</v>
      </c>
      <c r="G75" s="59">
        <f t="shared" si="63"/>
        <v>345.89</v>
      </c>
      <c r="H75" s="59">
        <f t="shared" si="64"/>
        <v>2000</v>
      </c>
      <c r="J75" s="1">
        <f t="shared" si="65"/>
        <v>2345.89</v>
      </c>
      <c r="L75" s="115">
        <f>SUMIFS('Invoices - Preopening'!$I$20:$I$299,'Invoices - Preopening'!$H$20:$H$299,"&gt;="&amp;L$6,'Invoices - Preopening'!$H$20:$H$299,"&lt;="&amp;L$7,'Invoices - Preopening'!$C$20:$C$299,'Model - Preopening &amp; Fees'!$B75)</f>
        <v>0</v>
      </c>
      <c r="M75" s="115">
        <f>SUMIFS('Invoices - Preopening'!$I$20:$I$299,'Invoices - Preopening'!$H$20:$H$299,"&gt;="&amp;M$6,'Invoices - Preopening'!$H$20:$H$299,"&lt;="&amp;M$7,'Invoices - Preopening'!$C$20:$C$299,'Model - Preopening &amp; Fees'!$B75)</f>
        <v>0</v>
      </c>
      <c r="N75" s="115">
        <f>SUMIFS('Invoices - Preopening'!$I$20:$I$299,'Invoices - Preopening'!$H$20:$H$299,"&gt;="&amp;N$6,'Invoices - Preopening'!$H$20:$H$299,"&lt;="&amp;N$7,'Invoices - Preopening'!$C$20:$C$299,'Model - Preopening &amp; Fees'!$B75)</f>
        <v>0</v>
      </c>
      <c r="O75" s="115">
        <f>SUMIFS('Invoices - Preopening'!$I$20:$I$299,'Invoices - Preopening'!$H$20:$H$299,"&gt;="&amp;O$6,'Invoices - Preopening'!$H$20:$H$299,"&lt;="&amp;O$7,'Invoices - Preopening'!$C$20:$C$299,'Model - Preopening &amp; Fees'!$B75)</f>
        <v>0</v>
      </c>
      <c r="P75" s="115">
        <f>SUMIFS('Invoices - Preopening'!$I$20:$I$299,'Invoices - Preopening'!$H$20:$H$299,"&gt;="&amp;P$6,'Invoices - Preopening'!$H$20:$H$299,"&lt;="&amp;P$7,'Invoices - Preopening'!$C$20:$C$299,'Model - Preopening &amp; Fees'!$B75)</f>
        <v>0</v>
      </c>
      <c r="Q75" s="115">
        <f>SUMIFS('Invoices - Preopening'!$I$20:$I$299,'Invoices - Preopening'!$H$20:$H$299,"&gt;="&amp;Q$6,'Invoices - Preopening'!$H$20:$H$299,"&lt;="&amp;Q$7,'Invoices - Preopening'!$C$20:$C$299,'Model - Preopening &amp; Fees'!$B75)</f>
        <v>0</v>
      </c>
      <c r="R75" s="115">
        <f>SUMIFS('Invoices - Preopening'!$I$20:$I$299,'Invoices - Preopening'!$H$20:$H$299,"&gt;="&amp;R$6,'Invoices - Preopening'!$H$20:$H$299,"&lt;="&amp;R$7,'Invoices - Preopening'!$C$20:$C$299,'Model - Preopening &amp; Fees'!$B75)</f>
        <v>0</v>
      </c>
      <c r="S75" s="115">
        <f>SUMIFS('Invoices - Preopening'!$I$20:$I$299,'Invoices - Preopening'!$H$20:$H$299,"&gt;="&amp;S$6,'Invoices - Preopening'!$H$20:$H$299,"&lt;="&amp;S$7,'Invoices - Preopening'!$C$20:$C$299,'Model - Preopening &amp; Fees'!$B75)</f>
        <v>0</v>
      </c>
      <c r="T75" s="115">
        <f>SUMIFS('Invoices - Preopening'!$I$20:$I$299,'Invoices - Preopening'!$H$20:$H$299,"&gt;="&amp;T$6,'Invoices - Preopening'!$H$20:$H$299,"&lt;="&amp;T$7,'Invoices - Preopening'!$C$20:$C$299,'Model - Preopening &amp; Fees'!$B75)</f>
        <v>0</v>
      </c>
      <c r="U75" s="115">
        <f>SUMIFS('Invoices - Preopening'!$I$20:$I$299,'Invoices - Preopening'!$H$20:$H$299,"&gt;="&amp;U$6,'Invoices - Preopening'!$H$20:$H$299,"&lt;="&amp;U$7,'Invoices - Preopening'!$C$20:$C$299,'Model - Preopening &amp; Fees'!$B75)</f>
        <v>0</v>
      </c>
      <c r="V75" s="115">
        <f>SUMIFS('Invoices - Preopening'!$I$20:$I$299,'Invoices - Preopening'!$H$20:$H$299,"&gt;="&amp;V$6,'Invoices - Preopening'!$H$20:$H$299,"&lt;="&amp;V$7,'Invoices - Preopening'!$C$20:$C$299,'Model - Preopening &amp; Fees'!$B75)</f>
        <v>0</v>
      </c>
      <c r="W75" s="115">
        <f>SUMIFS('Invoices - Preopening'!$I$20:$I$299,'Invoices - Preopening'!$H$20:$H$299,"&gt;="&amp;W$6,'Invoices - Preopening'!$H$20:$H$299,"&lt;="&amp;W$7,'Invoices - Preopening'!$C$20:$C$299,'Model - Preopening &amp; Fees'!$B75)</f>
        <v>0</v>
      </c>
      <c r="X75" s="115">
        <f>SUMIFS('Invoices - Preopening'!$I$20:$I$299,'Invoices - Preopening'!$H$20:$H$299,"&gt;="&amp;X$6,'Invoices - Preopening'!$H$20:$H$299,"&lt;="&amp;X$7,'Invoices - Preopening'!$C$20:$C$299,'Model - Preopening &amp; Fees'!$B75)</f>
        <v>0</v>
      </c>
      <c r="Y75" s="115">
        <f>SUMIFS('Invoices - Preopening'!$I$20:$I$299,'Invoices - Preopening'!$H$20:$H$299,"&gt;="&amp;Y$6,'Invoices - Preopening'!$H$20:$H$299,"&lt;="&amp;Y$7,'Invoices - Preopening'!$C$20:$C$299,'Model - Preopening &amp; Fees'!$B75)</f>
        <v>0</v>
      </c>
      <c r="Z75" s="115">
        <f>SUMIFS('Invoices - Preopening'!$I$20:$I$299,'Invoices - Preopening'!$H$20:$H$299,"&gt;="&amp;Z$6,'Invoices - Preopening'!$H$20:$H$299,"&lt;="&amp;Z$7,'Invoices - Preopening'!$C$20:$C$299,'Model - Preopening &amp; Fees'!$B75)</f>
        <v>288.78999999999996</v>
      </c>
      <c r="AA75" s="115">
        <f>SUMIFS('Invoices - Preopening'!$I$20:$I$299,'Invoices - Preopening'!$H$20:$H$299,"&gt;="&amp;AA$6,'Invoices - Preopening'!$H$20:$H$299,"&lt;="&amp;AA$7,'Invoices - Preopening'!$C$20:$C$299,'Model - Preopening &amp; Fees'!$B75)</f>
        <v>0</v>
      </c>
      <c r="AB75" s="115">
        <f>SUMIFS('Invoices - Preopening'!$I$20:$I$299,'Invoices - Preopening'!$H$20:$H$299,"&gt;="&amp;AB$6,'Invoices - Preopening'!$H$20:$H$299,"&lt;="&amp;AB$7,'Invoices - Preopening'!$C$20:$C$299,'Model - Preopening &amp; Fees'!$B75)</f>
        <v>0</v>
      </c>
      <c r="AC75" s="115">
        <f>SUMIFS('Invoices - Preopening'!$I$20:$I$299,'Invoices - Preopening'!$H$20:$H$299,"&gt;="&amp;AC$6,'Invoices - Preopening'!$H$20:$H$299,"&lt;="&amp;AC$7,'Invoices - Preopening'!$C$20:$C$299,'Model - Preopening &amp; Fees'!$B75)</f>
        <v>57.1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1000</v>
      </c>
      <c r="AJ75" s="9">
        <v>1000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T75" s="24">
        <f t="shared" si="66"/>
        <v>0</v>
      </c>
      <c r="AU75" s="24">
        <f t="shared" si="66"/>
        <v>0</v>
      </c>
      <c r="AV75" s="24">
        <f t="shared" si="66"/>
        <v>0</v>
      </c>
      <c r="AW75" s="24">
        <f t="shared" si="66"/>
        <v>0</v>
      </c>
      <c r="AX75" s="24">
        <f t="shared" si="66"/>
        <v>-288.78999999999996</v>
      </c>
      <c r="AY75" s="1">
        <f t="shared" si="66"/>
        <v>-57.1</v>
      </c>
      <c r="AZ75" s="1">
        <f t="shared" si="66"/>
        <v>0</v>
      </c>
      <c r="BA75" s="1">
        <f t="shared" si="66"/>
        <v>-1000</v>
      </c>
      <c r="BB75" s="1">
        <f t="shared" si="66"/>
        <v>-1000</v>
      </c>
      <c r="BC75" s="1">
        <f t="shared" si="66"/>
        <v>0</v>
      </c>
      <c r="BD75" s="1">
        <f t="shared" si="66"/>
        <v>0</v>
      </c>
      <c r="BF75" s="1">
        <f t="shared" si="57"/>
        <v>-2345.89</v>
      </c>
    </row>
    <row r="76" spans="1:58" x14ac:dyDescent="0.25">
      <c r="A76">
        <v>1</v>
      </c>
      <c r="B76" s="21" t="s">
        <v>295</v>
      </c>
      <c r="C76" s="21"/>
      <c r="D76" s="2" t="s">
        <v>146</v>
      </c>
      <c r="E76" s="2" t="s">
        <v>149</v>
      </c>
      <c r="F76" s="9">
        <v>10000</v>
      </c>
      <c r="G76" s="59">
        <f>SUMIFS($L76:$AR76,$L$7:$AR$7,"&lt;="&amp;$J$4)</f>
        <v>0</v>
      </c>
      <c r="H76" s="59">
        <f t="shared" ref="H76" si="67">J76-G76</f>
        <v>10000</v>
      </c>
      <c r="J76" s="1">
        <f t="shared" si="65"/>
        <v>10000</v>
      </c>
      <c r="L76" s="115">
        <f>SUMIFS('Invoices - Preopening'!$I$20:$I$299,'Invoices - Preopening'!$H$20:$H$299,"&gt;="&amp;L$6,'Invoices - Preopening'!$H$20:$H$299,"&lt;="&amp;L$7,'Invoices - Preopening'!$C$20:$C$299,'Model - Preopening &amp; Fees'!$B76)</f>
        <v>0</v>
      </c>
      <c r="M76" s="115">
        <f>SUMIFS('Invoices - Preopening'!$I$20:$I$299,'Invoices - Preopening'!$H$20:$H$299,"&gt;="&amp;M$6,'Invoices - Preopening'!$H$20:$H$299,"&lt;="&amp;M$7,'Invoices - Preopening'!$C$20:$C$299,'Model - Preopening &amp; Fees'!$B76)</f>
        <v>0</v>
      </c>
      <c r="N76" s="115">
        <f>SUMIFS('Invoices - Preopening'!$I$20:$I$299,'Invoices - Preopening'!$H$20:$H$299,"&gt;="&amp;N$6,'Invoices - Preopening'!$H$20:$H$299,"&lt;="&amp;N$7,'Invoices - Preopening'!$C$20:$C$299,'Model - Preopening &amp; Fees'!$B76)</f>
        <v>0</v>
      </c>
      <c r="O76" s="115">
        <f>SUMIFS('Invoices - Preopening'!$I$20:$I$299,'Invoices - Preopening'!$H$20:$H$299,"&gt;="&amp;O$6,'Invoices - Preopening'!$H$20:$H$299,"&lt;="&amp;O$7,'Invoices - Preopening'!$C$20:$C$299,'Model - Preopening &amp; Fees'!$B76)</f>
        <v>0</v>
      </c>
      <c r="P76" s="115">
        <f>SUMIFS('Invoices - Preopening'!$I$20:$I$299,'Invoices - Preopening'!$H$20:$H$299,"&gt;="&amp;P$6,'Invoices - Preopening'!$H$20:$H$299,"&lt;="&amp;P$7,'Invoices - Preopening'!$C$20:$C$299,'Model - Preopening &amp; Fees'!$B76)</f>
        <v>0</v>
      </c>
      <c r="Q76" s="115">
        <f>SUMIFS('Invoices - Preopening'!$I$20:$I$299,'Invoices - Preopening'!$H$20:$H$299,"&gt;="&amp;Q$6,'Invoices - Preopening'!$H$20:$H$299,"&lt;="&amp;Q$7,'Invoices - Preopening'!$C$20:$C$299,'Model - Preopening &amp; Fees'!$B76)</f>
        <v>0</v>
      </c>
      <c r="R76" s="115">
        <f>SUMIFS('Invoices - Preopening'!$I$20:$I$299,'Invoices - Preopening'!$H$20:$H$299,"&gt;="&amp;R$6,'Invoices - Preopening'!$H$20:$H$299,"&lt;="&amp;R$7,'Invoices - Preopening'!$C$20:$C$299,'Model - Preopening &amp; Fees'!$B76)</f>
        <v>0</v>
      </c>
      <c r="S76" s="115">
        <f>SUMIFS('Invoices - Preopening'!$I$20:$I$299,'Invoices - Preopening'!$H$20:$H$299,"&gt;="&amp;S$6,'Invoices - Preopening'!$H$20:$H$299,"&lt;="&amp;S$7,'Invoices - Preopening'!$C$20:$C$299,'Model - Preopening &amp; Fees'!$B76)</f>
        <v>0</v>
      </c>
      <c r="T76" s="115">
        <f>SUMIFS('Invoices - Preopening'!$I$20:$I$299,'Invoices - Preopening'!$H$20:$H$299,"&gt;="&amp;T$6,'Invoices - Preopening'!$H$20:$H$299,"&lt;="&amp;T$7,'Invoices - Preopening'!$C$20:$C$299,'Model - Preopening &amp; Fees'!$B76)</f>
        <v>0</v>
      </c>
      <c r="U76" s="115">
        <f>SUMIFS('Invoices - Preopening'!$I$20:$I$299,'Invoices - Preopening'!$H$20:$H$299,"&gt;="&amp;U$6,'Invoices - Preopening'!$H$20:$H$299,"&lt;="&amp;U$7,'Invoices - Preopening'!$C$20:$C$299,'Model - Preopening &amp; Fees'!$B76)</f>
        <v>0</v>
      </c>
      <c r="V76" s="115">
        <f>SUMIFS('Invoices - Preopening'!$I$20:$I$299,'Invoices - Preopening'!$H$20:$H$299,"&gt;="&amp;V$6,'Invoices - Preopening'!$H$20:$H$299,"&lt;="&amp;V$7,'Invoices - Preopening'!$C$20:$C$299,'Model - Preopening &amp; Fees'!$B76)</f>
        <v>0</v>
      </c>
      <c r="W76" s="115">
        <f>SUMIFS('Invoices - Preopening'!$I$20:$I$299,'Invoices - Preopening'!$H$20:$H$299,"&gt;="&amp;W$6,'Invoices - Preopening'!$H$20:$H$299,"&lt;="&amp;W$7,'Invoices - Preopening'!$C$20:$C$299,'Model - Preopening &amp; Fees'!$B76)</f>
        <v>0</v>
      </c>
      <c r="X76" s="115">
        <f>SUMIFS('Invoices - Preopening'!$I$20:$I$299,'Invoices - Preopening'!$H$20:$H$299,"&gt;="&amp;X$6,'Invoices - Preopening'!$H$20:$H$299,"&lt;="&amp;X$7,'Invoices - Preopening'!$C$20:$C$299,'Model - Preopening &amp; Fees'!$B76)</f>
        <v>0</v>
      </c>
      <c r="Y76" s="115">
        <f>SUMIFS('Invoices - Preopening'!$I$20:$I$299,'Invoices - Preopening'!$H$20:$H$299,"&gt;="&amp;Y$6,'Invoices - Preopening'!$H$20:$H$299,"&lt;="&amp;Y$7,'Invoices - Preopening'!$C$20:$C$299,'Model - Preopening &amp; Fees'!$B76)</f>
        <v>0</v>
      </c>
      <c r="Z76" s="115">
        <f>SUMIFS('Invoices - Preopening'!$I$20:$I$299,'Invoices - Preopening'!$H$20:$H$299,"&gt;="&amp;Z$6,'Invoices - Preopening'!$H$20:$H$299,"&lt;="&amp;Z$7,'Invoices - Preopening'!$C$20:$C$299,'Model - Preopening &amp; Fees'!$B76)</f>
        <v>0</v>
      </c>
      <c r="AA76" s="115">
        <f>SUMIFS('Invoices - Preopening'!$I$20:$I$299,'Invoices - Preopening'!$H$20:$H$299,"&gt;="&amp;AA$6,'Invoices - Preopening'!$H$20:$H$299,"&lt;="&amp;AA$7,'Invoices - Preopening'!$C$20:$C$299,'Model - Preopening &amp; Fees'!$B76)</f>
        <v>0</v>
      </c>
      <c r="AB76" s="115">
        <f>SUMIFS('Invoices - Preopening'!$I$20:$I$299,'Invoices - Preopening'!$H$20:$H$299,"&gt;="&amp;AB$6,'Invoices - Preopening'!$H$20:$H$299,"&lt;="&amp;AB$7,'Invoices - Preopening'!$C$20:$C$299,'Model - Preopening &amp; Fees'!$B76)</f>
        <v>0</v>
      </c>
      <c r="AC76" s="115">
        <f>SUMIFS('Invoices - Preopening'!$I$20:$I$299,'Invoices - Preopening'!$H$20:$H$299,"&gt;="&amp;AC$6,'Invoices - Preopening'!$H$20:$H$299,"&lt;="&amp;AC$7,'Invoices - Preopening'!$C$20:$C$299,'Model - Preopening &amp; Fees'!$B76)</f>
        <v>0</v>
      </c>
      <c r="AD76" s="9">
        <v>0</v>
      </c>
      <c r="AE76" s="9">
        <v>0</v>
      </c>
      <c r="AF76" s="9">
        <v>0</v>
      </c>
      <c r="AG76" s="9">
        <v>0</v>
      </c>
      <c r="AH76" s="9">
        <v>5000</v>
      </c>
      <c r="AI76" s="9">
        <v>5000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T76" s="24"/>
      <c r="AU76" s="24"/>
      <c r="AV76" s="24"/>
      <c r="AW76" s="24"/>
      <c r="AX76" s="24"/>
      <c r="AY76" s="1"/>
      <c r="AZ76" s="1"/>
      <c r="BA76" s="1"/>
      <c r="BB76" s="1"/>
      <c r="BC76" s="1"/>
      <c r="BD76" s="1"/>
      <c r="BF76" s="1"/>
    </row>
    <row r="77" spans="1:58" x14ac:dyDescent="0.25">
      <c r="F77" s="9"/>
      <c r="J77" s="1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 spans="1:58" x14ac:dyDescent="0.25">
      <c r="B78" s="141" t="s">
        <v>152</v>
      </c>
      <c r="C78" s="141"/>
      <c r="D78" s="142"/>
      <c r="E78" s="142"/>
      <c r="F78" s="61"/>
      <c r="G78" s="141"/>
      <c r="H78" s="141"/>
      <c r="J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F78" s="141"/>
    </row>
    <row r="79" spans="1:58" x14ac:dyDescent="0.25">
      <c r="A79">
        <v>1</v>
      </c>
      <c r="B79" s="21" t="s">
        <v>153</v>
      </c>
      <c r="C79" s="21"/>
      <c r="D79" s="2" t="s">
        <v>146</v>
      </c>
      <c r="E79" s="2" t="s">
        <v>149</v>
      </c>
      <c r="F79" s="9">
        <v>3500</v>
      </c>
      <c r="G79" s="59">
        <f t="shared" ref="G79:G82" si="68">SUMIFS($L79:$AR79,$L$7:$AR$7,"&lt;="&amp;$J$4)</f>
        <v>0</v>
      </c>
      <c r="H79" s="59">
        <f t="shared" ref="H79:H82" si="69">J79-G79</f>
        <v>3500</v>
      </c>
      <c r="J79" s="1">
        <f t="shared" si="65"/>
        <v>3500</v>
      </c>
      <c r="L79" s="115">
        <f>SUMIFS('Invoices - Preopening'!$I$20:$I$299,'Invoices - Preopening'!$H$20:$H$299,"&gt;="&amp;L$6,'Invoices - Preopening'!$H$20:$H$299,"&lt;="&amp;L$7,'Invoices - Preopening'!$C$20:$C$299,'Model - Preopening &amp; Fees'!$B79)</f>
        <v>0</v>
      </c>
      <c r="M79" s="115">
        <f>SUMIFS('Invoices - Preopening'!$I$20:$I$299,'Invoices - Preopening'!$H$20:$H$299,"&gt;="&amp;M$6,'Invoices - Preopening'!$H$20:$H$299,"&lt;="&amp;M$7,'Invoices - Preopening'!$C$20:$C$299,'Model - Preopening &amp; Fees'!$B79)</f>
        <v>0</v>
      </c>
      <c r="N79" s="115">
        <f>SUMIFS('Invoices - Preopening'!$I$20:$I$299,'Invoices - Preopening'!$H$20:$H$299,"&gt;="&amp;N$6,'Invoices - Preopening'!$H$20:$H$299,"&lt;="&amp;N$7,'Invoices - Preopening'!$C$20:$C$299,'Model - Preopening &amp; Fees'!$B79)</f>
        <v>0</v>
      </c>
      <c r="O79" s="115">
        <f>SUMIFS('Invoices - Preopening'!$I$20:$I$299,'Invoices - Preopening'!$H$20:$H$299,"&gt;="&amp;O$6,'Invoices - Preopening'!$H$20:$H$299,"&lt;="&amp;O$7,'Invoices - Preopening'!$C$20:$C$299,'Model - Preopening &amp; Fees'!$B79)</f>
        <v>0</v>
      </c>
      <c r="P79" s="115">
        <f>SUMIFS('Invoices - Preopening'!$I$20:$I$299,'Invoices - Preopening'!$H$20:$H$299,"&gt;="&amp;P$6,'Invoices - Preopening'!$H$20:$H$299,"&lt;="&amp;P$7,'Invoices - Preopening'!$C$20:$C$299,'Model - Preopening &amp; Fees'!$B79)</f>
        <v>0</v>
      </c>
      <c r="Q79" s="115">
        <f>SUMIFS('Invoices - Preopening'!$I$20:$I$299,'Invoices - Preopening'!$H$20:$H$299,"&gt;="&amp;Q$6,'Invoices - Preopening'!$H$20:$H$299,"&lt;="&amp;Q$7,'Invoices - Preopening'!$C$20:$C$299,'Model - Preopening &amp; Fees'!$B79)</f>
        <v>0</v>
      </c>
      <c r="R79" s="115">
        <f>SUMIFS('Invoices - Preopening'!$I$20:$I$299,'Invoices - Preopening'!$H$20:$H$299,"&gt;="&amp;R$6,'Invoices - Preopening'!$H$20:$H$299,"&lt;="&amp;R$7,'Invoices - Preopening'!$C$20:$C$299,'Model - Preopening &amp; Fees'!$B79)</f>
        <v>0</v>
      </c>
      <c r="S79" s="115">
        <f>SUMIFS('Invoices - Preopening'!$I$20:$I$299,'Invoices - Preopening'!$H$20:$H$299,"&gt;="&amp;S$6,'Invoices - Preopening'!$H$20:$H$299,"&lt;="&amp;S$7,'Invoices - Preopening'!$C$20:$C$299,'Model - Preopening &amp; Fees'!$B79)</f>
        <v>0</v>
      </c>
      <c r="T79" s="115">
        <f>SUMIFS('Invoices - Preopening'!$I$20:$I$299,'Invoices - Preopening'!$H$20:$H$299,"&gt;="&amp;T$6,'Invoices - Preopening'!$H$20:$H$299,"&lt;="&amp;T$7,'Invoices - Preopening'!$C$20:$C$299,'Model - Preopening &amp; Fees'!$B79)</f>
        <v>0</v>
      </c>
      <c r="U79" s="115">
        <f>SUMIFS('Invoices - Preopening'!$I$20:$I$299,'Invoices - Preopening'!$H$20:$H$299,"&gt;="&amp;U$6,'Invoices - Preopening'!$H$20:$H$299,"&lt;="&amp;U$7,'Invoices - Preopening'!$C$20:$C$299,'Model - Preopening &amp; Fees'!$B79)</f>
        <v>0</v>
      </c>
      <c r="V79" s="115">
        <f>SUMIFS('Invoices - Preopening'!$I$20:$I$299,'Invoices - Preopening'!$H$20:$H$299,"&gt;="&amp;V$6,'Invoices - Preopening'!$H$20:$H$299,"&lt;="&amp;V$7,'Invoices - Preopening'!$C$20:$C$299,'Model - Preopening &amp; Fees'!$B79)</f>
        <v>0</v>
      </c>
      <c r="W79" s="115">
        <f>SUMIFS('Invoices - Preopening'!$I$20:$I$299,'Invoices - Preopening'!$H$20:$H$299,"&gt;="&amp;W$6,'Invoices - Preopening'!$H$20:$H$299,"&lt;="&amp;W$7,'Invoices - Preopening'!$C$20:$C$299,'Model - Preopening &amp; Fees'!$B79)</f>
        <v>0</v>
      </c>
      <c r="X79" s="115">
        <f>SUMIFS('Invoices - Preopening'!$I$20:$I$299,'Invoices - Preopening'!$H$20:$H$299,"&gt;="&amp;X$6,'Invoices - Preopening'!$H$20:$H$299,"&lt;="&amp;X$7,'Invoices - Preopening'!$C$20:$C$299,'Model - Preopening &amp; Fees'!$B79)</f>
        <v>0</v>
      </c>
      <c r="Y79" s="115">
        <f>SUMIFS('Invoices - Preopening'!$I$20:$I$299,'Invoices - Preopening'!$H$20:$H$299,"&gt;="&amp;Y$6,'Invoices - Preopening'!$H$20:$H$299,"&lt;="&amp;Y$7,'Invoices - Preopening'!$C$20:$C$299,'Model - Preopening &amp; Fees'!$B79)</f>
        <v>0</v>
      </c>
      <c r="Z79" s="115">
        <f>SUMIFS('Invoices - Preopening'!$I$20:$I$299,'Invoices - Preopening'!$H$20:$H$299,"&gt;="&amp;Z$6,'Invoices - Preopening'!$H$20:$H$299,"&lt;="&amp;Z$7,'Invoices - Preopening'!$C$20:$C$299,'Model - Preopening &amp; Fees'!$B79)</f>
        <v>0</v>
      </c>
      <c r="AA79" s="115">
        <f>SUMIFS('Invoices - Preopening'!$I$20:$I$299,'Invoices - Preopening'!$H$20:$H$299,"&gt;="&amp;AA$6,'Invoices - Preopening'!$H$20:$H$299,"&lt;="&amp;AA$7,'Invoices - Preopening'!$C$20:$C$299,'Model - Preopening &amp; Fees'!$B79)</f>
        <v>0</v>
      </c>
      <c r="AB79" s="115">
        <f>SUMIFS('Invoices - Preopening'!$I$20:$I$299,'Invoices - Preopening'!$H$20:$H$299,"&gt;="&amp;AB$6,'Invoices - Preopening'!$H$20:$H$299,"&lt;="&amp;AB$7,'Invoices - Preopening'!$C$20:$C$299,'Model - Preopening &amp; Fees'!$B79)</f>
        <v>0</v>
      </c>
      <c r="AC79" s="115">
        <f>SUMIFS('Invoices - Preopening'!$I$20:$I$299,'Invoices - Preopening'!$H$20:$H$299,"&gt;="&amp;AC$6,'Invoices - Preopening'!$H$20:$H$299,"&lt;="&amp;AC$7,'Invoices - Preopening'!$C$20:$C$299,'Model - Preopening &amp; Fees'!$B79)</f>
        <v>0</v>
      </c>
      <c r="AD79" s="9">
        <v>0</v>
      </c>
      <c r="AE79" s="9"/>
      <c r="AF79" s="9">
        <v>500</v>
      </c>
      <c r="AG79" s="9">
        <v>1500</v>
      </c>
      <c r="AH79" s="9">
        <v>1000</v>
      </c>
      <c r="AI79" s="9">
        <v>500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T79" s="24">
        <f t="shared" ref="AT79:BD82" si="70">-SUMIFS($L79:$AR79,$L$5:$AR$5,AT$5)</f>
        <v>0</v>
      </c>
      <c r="AU79" s="24">
        <f t="shared" si="70"/>
        <v>0</v>
      </c>
      <c r="AV79" s="24">
        <f t="shared" si="70"/>
        <v>0</v>
      </c>
      <c r="AW79" s="24">
        <f t="shared" si="70"/>
        <v>0</v>
      </c>
      <c r="AX79" s="24">
        <f t="shared" si="70"/>
        <v>0</v>
      </c>
      <c r="AY79" s="1">
        <f t="shared" si="70"/>
        <v>0</v>
      </c>
      <c r="AZ79" s="1">
        <f t="shared" si="70"/>
        <v>-500</v>
      </c>
      <c r="BA79" s="1">
        <f t="shared" si="70"/>
        <v>-3000</v>
      </c>
      <c r="BB79" s="1">
        <f t="shared" si="70"/>
        <v>0</v>
      </c>
      <c r="BC79" s="1">
        <f t="shared" si="70"/>
        <v>0</v>
      </c>
      <c r="BD79" s="1">
        <f t="shared" si="70"/>
        <v>0</v>
      </c>
      <c r="BF79" s="1">
        <f t="shared" si="57"/>
        <v>-3500</v>
      </c>
    </row>
    <row r="80" spans="1:58" x14ac:dyDescent="0.25">
      <c r="A80">
        <v>1</v>
      </c>
      <c r="B80" s="21" t="s">
        <v>154</v>
      </c>
      <c r="C80" s="21"/>
      <c r="D80" s="2" t="s">
        <v>146</v>
      </c>
      <c r="E80" s="2" t="s">
        <v>149</v>
      </c>
      <c r="F80" s="9">
        <v>2000</v>
      </c>
      <c r="G80" s="59">
        <f t="shared" si="68"/>
        <v>0</v>
      </c>
      <c r="H80" s="59">
        <f t="shared" si="69"/>
        <v>2000</v>
      </c>
      <c r="J80" s="1">
        <f t="shared" si="65"/>
        <v>2000</v>
      </c>
      <c r="L80" s="115">
        <f>SUMIFS('Invoices - Preopening'!$I$20:$I$299,'Invoices - Preopening'!$H$20:$H$299,"&gt;="&amp;L$6,'Invoices - Preopening'!$H$20:$H$299,"&lt;="&amp;L$7,'Invoices - Preopening'!$C$20:$C$299,'Model - Preopening &amp; Fees'!$B80)</f>
        <v>0</v>
      </c>
      <c r="M80" s="115">
        <f>SUMIFS('Invoices - Preopening'!$I$20:$I$299,'Invoices - Preopening'!$H$20:$H$299,"&gt;="&amp;M$6,'Invoices - Preopening'!$H$20:$H$299,"&lt;="&amp;M$7,'Invoices - Preopening'!$C$20:$C$299,'Model - Preopening &amp; Fees'!$B80)</f>
        <v>0</v>
      </c>
      <c r="N80" s="115">
        <f>SUMIFS('Invoices - Preopening'!$I$20:$I$299,'Invoices - Preopening'!$H$20:$H$299,"&gt;="&amp;N$6,'Invoices - Preopening'!$H$20:$H$299,"&lt;="&amp;N$7,'Invoices - Preopening'!$C$20:$C$299,'Model - Preopening &amp; Fees'!$B80)</f>
        <v>0</v>
      </c>
      <c r="O80" s="115">
        <f>SUMIFS('Invoices - Preopening'!$I$20:$I$299,'Invoices - Preopening'!$H$20:$H$299,"&gt;="&amp;O$6,'Invoices - Preopening'!$H$20:$H$299,"&lt;="&amp;O$7,'Invoices - Preopening'!$C$20:$C$299,'Model - Preopening &amp; Fees'!$B80)</f>
        <v>0</v>
      </c>
      <c r="P80" s="115">
        <f>SUMIFS('Invoices - Preopening'!$I$20:$I$299,'Invoices - Preopening'!$H$20:$H$299,"&gt;="&amp;P$6,'Invoices - Preopening'!$H$20:$H$299,"&lt;="&amp;P$7,'Invoices - Preopening'!$C$20:$C$299,'Model - Preopening &amp; Fees'!$B80)</f>
        <v>0</v>
      </c>
      <c r="Q80" s="115">
        <f>SUMIFS('Invoices - Preopening'!$I$20:$I$299,'Invoices - Preopening'!$H$20:$H$299,"&gt;="&amp;Q$6,'Invoices - Preopening'!$H$20:$H$299,"&lt;="&amp;Q$7,'Invoices - Preopening'!$C$20:$C$299,'Model - Preopening &amp; Fees'!$B80)</f>
        <v>0</v>
      </c>
      <c r="R80" s="115">
        <f>SUMIFS('Invoices - Preopening'!$I$20:$I$299,'Invoices - Preopening'!$H$20:$H$299,"&gt;="&amp;R$6,'Invoices - Preopening'!$H$20:$H$299,"&lt;="&amp;R$7,'Invoices - Preopening'!$C$20:$C$299,'Model - Preopening &amp; Fees'!$B80)</f>
        <v>0</v>
      </c>
      <c r="S80" s="115">
        <f>SUMIFS('Invoices - Preopening'!$I$20:$I$299,'Invoices - Preopening'!$H$20:$H$299,"&gt;="&amp;S$6,'Invoices - Preopening'!$H$20:$H$299,"&lt;="&amp;S$7,'Invoices - Preopening'!$C$20:$C$299,'Model - Preopening &amp; Fees'!$B80)</f>
        <v>0</v>
      </c>
      <c r="T80" s="115">
        <f>SUMIFS('Invoices - Preopening'!$I$20:$I$299,'Invoices - Preopening'!$H$20:$H$299,"&gt;="&amp;T$6,'Invoices - Preopening'!$H$20:$H$299,"&lt;="&amp;T$7,'Invoices - Preopening'!$C$20:$C$299,'Model - Preopening &amp; Fees'!$B80)</f>
        <v>0</v>
      </c>
      <c r="U80" s="115">
        <f>SUMIFS('Invoices - Preopening'!$I$20:$I$299,'Invoices - Preopening'!$H$20:$H$299,"&gt;="&amp;U$6,'Invoices - Preopening'!$H$20:$H$299,"&lt;="&amp;U$7,'Invoices - Preopening'!$C$20:$C$299,'Model - Preopening &amp; Fees'!$B80)</f>
        <v>0</v>
      </c>
      <c r="V80" s="115">
        <f>SUMIFS('Invoices - Preopening'!$I$20:$I$299,'Invoices - Preopening'!$H$20:$H$299,"&gt;="&amp;V$6,'Invoices - Preopening'!$H$20:$H$299,"&lt;="&amp;V$7,'Invoices - Preopening'!$C$20:$C$299,'Model - Preopening &amp; Fees'!$B80)</f>
        <v>0</v>
      </c>
      <c r="W80" s="115">
        <f>SUMIFS('Invoices - Preopening'!$I$20:$I$299,'Invoices - Preopening'!$H$20:$H$299,"&gt;="&amp;W$6,'Invoices - Preopening'!$H$20:$H$299,"&lt;="&amp;W$7,'Invoices - Preopening'!$C$20:$C$299,'Model - Preopening &amp; Fees'!$B80)</f>
        <v>0</v>
      </c>
      <c r="X80" s="115">
        <f>SUMIFS('Invoices - Preopening'!$I$20:$I$299,'Invoices - Preopening'!$H$20:$H$299,"&gt;="&amp;X$6,'Invoices - Preopening'!$H$20:$H$299,"&lt;="&amp;X$7,'Invoices - Preopening'!$C$20:$C$299,'Model - Preopening &amp; Fees'!$B80)</f>
        <v>0</v>
      </c>
      <c r="Y80" s="115">
        <f>SUMIFS('Invoices - Preopening'!$I$20:$I$299,'Invoices - Preopening'!$H$20:$H$299,"&gt;="&amp;Y$6,'Invoices - Preopening'!$H$20:$H$299,"&lt;="&amp;Y$7,'Invoices - Preopening'!$C$20:$C$299,'Model - Preopening &amp; Fees'!$B80)</f>
        <v>0</v>
      </c>
      <c r="Z80" s="115">
        <f>SUMIFS('Invoices - Preopening'!$I$20:$I$299,'Invoices - Preopening'!$H$20:$H$299,"&gt;="&amp;Z$6,'Invoices - Preopening'!$H$20:$H$299,"&lt;="&amp;Z$7,'Invoices - Preopening'!$C$20:$C$299,'Model - Preopening &amp; Fees'!$B80)</f>
        <v>0</v>
      </c>
      <c r="AA80" s="115">
        <f>SUMIFS('Invoices - Preopening'!$I$20:$I$299,'Invoices - Preopening'!$H$20:$H$299,"&gt;="&amp;AA$6,'Invoices - Preopening'!$H$20:$H$299,"&lt;="&amp;AA$7,'Invoices - Preopening'!$C$20:$C$299,'Model - Preopening &amp; Fees'!$B80)</f>
        <v>0</v>
      </c>
      <c r="AB80" s="115">
        <f>SUMIFS('Invoices - Preopening'!$I$20:$I$299,'Invoices - Preopening'!$H$20:$H$299,"&gt;="&amp;AB$6,'Invoices - Preopening'!$H$20:$H$299,"&lt;="&amp;AB$7,'Invoices - Preopening'!$C$20:$C$299,'Model - Preopening &amp; Fees'!$B80)</f>
        <v>0</v>
      </c>
      <c r="AC80" s="115">
        <f>SUMIFS('Invoices - Preopening'!$I$20:$I$299,'Invoices - Preopening'!$H$20:$H$299,"&gt;="&amp;AC$6,'Invoices - Preopening'!$H$20:$H$299,"&lt;="&amp;AC$7,'Invoices - Preopening'!$C$20:$C$299,'Model - Preopening &amp; Fees'!$B80)</f>
        <v>0</v>
      </c>
      <c r="AD80" s="9">
        <v>0</v>
      </c>
      <c r="AE80" s="9">
        <v>1000</v>
      </c>
      <c r="AF80" s="9">
        <v>500</v>
      </c>
      <c r="AG80" s="9">
        <v>500</v>
      </c>
      <c r="AH80" s="9"/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T80" s="24">
        <f t="shared" si="70"/>
        <v>0</v>
      </c>
      <c r="AU80" s="24">
        <f t="shared" si="70"/>
        <v>0</v>
      </c>
      <c r="AV80" s="24">
        <f t="shared" si="70"/>
        <v>0</v>
      </c>
      <c r="AW80" s="24">
        <f t="shared" si="70"/>
        <v>0</v>
      </c>
      <c r="AX80" s="24">
        <f t="shared" si="70"/>
        <v>0</v>
      </c>
      <c r="AY80" s="1">
        <f t="shared" si="70"/>
        <v>0</v>
      </c>
      <c r="AZ80" s="1">
        <f t="shared" si="70"/>
        <v>-1500</v>
      </c>
      <c r="BA80" s="1">
        <f t="shared" si="70"/>
        <v>-500</v>
      </c>
      <c r="BB80" s="1">
        <f t="shared" si="70"/>
        <v>0</v>
      </c>
      <c r="BC80" s="1">
        <f t="shared" si="70"/>
        <v>0</v>
      </c>
      <c r="BD80" s="1">
        <f t="shared" si="70"/>
        <v>0</v>
      </c>
      <c r="BF80" s="1">
        <f t="shared" si="57"/>
        <v>-2000</v>
      </c>
    </row>
    <row r="81" spans="1:58" x14ac:dyDescent="0.25">
      <c r="A81">
        <v>1</v>
      </c>
      <c r="B81" s="21" t="s">
        <v>155</v>
      </c>
      <c r="C81" s="21"/>
      <c r="D81" s="2" t="s">
        <v>146</v>
      </c>
      <c r="E81" s="2" t="s">
        <v>149</v>
      </c>
      <c r="F81" s="9">
        <v>2500</v>
      </c>
      <c r="G81" s="59">
        <f t="shared" si="68"/>
        <v>0</v>
      </c>
      <c r="H81" s="59">
        <f t="shared" si="69"/>
        <v>2500</v>
      </c>
      <c r="J81" s="1">
        <f t="shared" si="65"/>
        <v>2500</v>
      </c>
      <c r="L81" s="115">
        <f>SUMIFS('Invoices - Preopening'!$I$20:$I$299,'Invoices - Preopening'!$H$20:$H$299,"&gt;="&amp;L$6,'Invoices - Preopening'!$H$20:$H$299,"&lt;="&amp;L$7,'Invoices - Preopening'!$C$20:$C$299,'Model - Preopening &amp; Fees'!$B81)</f>
        <v>0</v>
      </c>
      <c r="M81" s="115">
        <f>SUMIFS('Invoices - Preopening'!$I$20:$I$299,'Invoices - Preopening'!$H$20:$H$299,"&gt;="&amp;M$6,'Invoices - Preopening'!$H$20:$H$299,"&lt;="&amp;M$7,'Invoices - Preopening'!$C$20:$C$299,'Model - Preopening &amp; Fees'!$B81)</f>
        <v>0</v>
      </c>
      <c r="N81" s="115">
        <f>SUMIFS('Invoices - Preopening'!$I$20:$I$299,'Invoices - Preopening'!$H$20:$H$299,"&gt;="&amp;N$6,'Invoices - Preopening'!$H$20:$H$299,"&lt;="&amp;N$7,'Invoices - Preopening'!$C$20:$C$299,'Model - Preopening &amp; Fees'!$B81)</f>
        <v>0</v>
      </c>
      <c r="O81" s="115">
        <f>SUMIFS('Invoices - Preopening'!$I$20:$I$299,'Invoices - Preopening'!$H$20:$H$299,"&gt;="&amp;O$6,'Invoices - Preopening'!$H$20:$H$299,"&lt;="&amp;O$7,'Invoices - Preopening'!$C$20:$C$299,'Model - Preopening &amp; Fees'!$B81)</f>
        <v>0</v>
      </c>
      <c r="P81" s="115">
        <f>SUMIFS('Invoices - Preopening'!$I$20:$I$299,'Invoices - Preopening'!$H$20:$H$299,"&gt;="&amp;P$6,'Invoices - Preopening'!$H$20:$H$299,"&lt;="&amp;P$7,'Invoices - Preopening'!$C$20:$C$299,'Model - Preopening &amp; Fees'!$B81)</f>
        <v>0</v>
      </c>
      <c r="Q81" s="115">
        <f>SUMIFS('Invoices - Preopening'!$I$20:$I$299,'Invoices - Preopening'!$H$20:$H$299,"&gt;="&amp;Q$6,'Invoices - Preopening'!$H$20:$H$299,"&lt;="&amp;Q$7,'Invoices - Preopening'!$C$20:$C$299,'Model - Preopening &amp; Fees'!$B81)</f>
        <v>0</v>
      </c>
      <c r="R81" s="115">
        <f>SUMIFS('Invoices - Preopening'!$I$20:$I$299,'Invoices - Preopening'!$H$20:$H$299,"&gt;="&amp;R$6,'Invoices - Preopening'!$H$20:$H$299,"&lt;="&amp;R$7,'Invoices - Preopening'!$C$20:$C$299,'Model - Preopening &amp; Fees'!$B81)</f>
        <v>0</v>
      </c>
      <c r="S81" s="115">
        <f>SUMIFS('Invoices - Preopening'!$I$20:$I$299,'Invoices - Preopening'!$H$20:$H$299,"&gt;="&amp;S$6,'Invoices - Preopening'!$H$20:$H$299,"&lt;="&amp;S$7,'Invoices - Preopening'!$C$20:$C$299,'Model - Preopening &amp; Fees'!$B81)</f>
        <v>0</v>
      </c>
      <c r="T81" s="115">
        <f>SUMIFS('Invoices - Preopening'!$I$20:$I$299,'Invoices - Preopening'!$H$20:$H$299,"&gt;="&amp;T$6,'Invoices - Preopening'!$H$20:$H$299,"&lt;="&amp;T$7,'Invoices - Preopening'!$C$20:$C$299,'Model - Preopening &amp; Fees'!$B81)</f>
        <v>0</v>
      </c>
      <c r="U81" s="115">
        <f>SUMIFS('Invoices - Preopening'!$I$20:$I$299,'Invoices - Preopening'!$H$20:$H$299,"&gt;="&amp;U$6,'Invoices - Preopening'!$H$20:$H$299,"&lt;="&amp;U$7,'Invoices - Preopening'!$C$20:$C$299,'Model - Preopening &amp; Fees'!$B81)</f>
        <v>0</v>
      </c>
      <c r="V81" s="115">
        <f>SUMIFS('Invoices - Preopening'!$I$20:$I$299,'Invoices - Preopening'!$H$20:$H$299,"&gt;="&amp;V$6,'Invoices - Preopening'!$H$20:$H$299,"&lt;="&amp;V$7,'Invoices - Preopening'!$C$20:$C$299,'Model - Preopening &amp; Fees'!$B81)</f>
        <v>0</v>
      </c>
      <c r="W81" s="115">
        <f>SUMIFS('Invoices - Preopening'!$I$20:$I$299,'Invoices - Preopening'!$H$20:$H$299,"&gt;="&amp;W$6,'Invoices - Preopening'!$H$20:$H$299,"&lt;="&amp;W$7,'Invoices - Preopening'!$C$20:$C$299,'Model - Preopening &amp; Fees'!$B81)</f>
        <v>0</v>
      </c>
      <c r="X81" s="115">
        <f>SUMIFS('Invoices - Preopening'!$I$20:$I$299,'Invoices - Preopening'!$H$20:$H$299,"&gt;="&amp;X$6,'Invoices - Preopening'!$H$20:$H$299,"&lt;="&amp;X$7,'Invoices - Preopening'!$C$20:$C$299,'Model - Preopening &amp; Fees'!$B81)</f>
        <v>0</v>
      </c>
      <c r="Y81" s="115">
        <f>SUMIFS('Invoices - Preopening'!$I$20:$I$299,'Invoices - Preopening'!$H$20:$H$299,"&gt;="&amp;Y$6,'Invoices - Preopening'!$H$20:$H$299,"&lt;="&amp;Y$7,'Invoices - Preopening'!$C$20:$C$299,'Model - Preopening &amp; Fees'!$B81)</f>
        <v>0</v>
      </c>
      <c r="Z81" s="115">
        <f>SUMIFS('Invoices - Preopening'!$I$20:$I$299,'Invoices - Preopening'!$H$20:$H$299,"&gt;="&amp;Z$6,'Invoices - Preopening'!$H$20:$H$299,"&lt;="&amp;Z$7,'Invoices - Preopening'!$C$20:$C$299,'Model - Preopening &amp; Fees'!$B81)</f>
        <v>0</v>
      </c>
      <c r="AA81" s="115">
        <f>SUMIFS('Invoices - Preopening'!$I$20:$I$299,'Invoices - Preopening'!$H$20:$H$299,"&gt;="&amp;AA$6,'Invoices - Preopening'!$H$20:$H$299,"&lt;="&amp;AA$7,'Invoices - Preopening'!$C$20:$C$299,'Model - Preopening &amp; Fees'!$B81)</f>
        <v>0</v>
      </c>
      <c r="AB81" s="115">
        <f>SUMIFS('Invoices - Preopening'!$I$20:$I$299,'Invoices - Preopening'!$H$20:$H$299,"&gt;="&amp;AB$6,'Invoices - Preopening'!$H$20:$H$299,"&lt;="&amp;AB$7,'Invoices - Preopening'!$C$20:$C$299,'Model - Preopening &amp; Fees'!$B81)</f>
        <v>0</v>
      </c>
      <c r="AC81" s="115">
        <f>SUMIFS('Invoices - Preopening'!$I$20:$I$299,'Invoices - Preopening'!$H$20:$H$299,"&gt;="&amp;AC$6,'Invoices - Preopening'!$H$20:$H$299,"&lt;="&amp;AC$7,'Invoices - Preopening'!$C$20:$C$299,'Model - Preopening &amp; Fees'!$B81)</f>
        <v>0</v>
      </c>
      <c r="AD81" s="9">
        <v>0</v>
      </c>
      <c r="AE81" s="9">
        <v>0</v>
      </c>
      <c r="AF81" s="9">
        <v>0</v>
      </c>
      <c r="AG81" s="9">
        <v>750</v>
      </c>
      <c r="AH81" s="9">
        <v>750</v>
      </c>
      <c r="AI81" s="9">
        <v>500</v>
      </c>
      <c r="AJ81" s="9">
        <v>500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T81" s="24">
        <f t="shared" si="70"/>
        <v>0</v>
      </c>
      <c r="AU81" s="24">
        <f t="shared" si="70"/>
        <v>0</v>
      </c>
      <c r="AV81" s="24">
        <f t="shared" si="70"/>
        <v>0</v>
      </c>
      <c r="AW81" s="24">
        <f t="shared" si="70"/>
        <v>0</v>
      </c>
      <c r="AX81" s="24">
        <f t="shared" si="70"/>
        <v>0</v>
      </c>
      <c r="AY81" s="1">
        <f t="shared" si="70"/>
        <v>0</v>
      </c>
      <c r="AZ81" s="1">
        <f t="shared" si="70"/>
        <v>0</v>
      </c>
      <c r="BA81" s="1">
        <f t="shared" si="70"/>
        <v>-2000</v>
      </c>
      <c r="BB81" s="1">
        <f t="shared" si="70"/>
        <v>-500</v>
      </c>
      <c r="BC81" s="1">
        <f t="shared" si="70"/>
        <v>0</v>
      </c>
      <c r="BD81" s="1">
        <f t="shared" si="70"/>
        <v>0</v>
      </c>
      <c r="BF81" s="1">
        <f t="shared" si="57"/>
        <v>-2500</v>
      </c>
    </row>
    <row r="82" spans="1:58" x14ac:dyDescent="0.25">
      <c r="A82">
        <v>1</v>
      </c>
      <c r="B82" s="21" t="s">
        <v>156</v>
      </c>
      <c r="C82" s="21"/>
      <c r="D82" s="2" t="s">
        <v>146</v>
      </c>
      <c r="E82" s="2" t="s">
        <v>149</v>
      </c>
      <c r="F82" s="9">
        <v>7500</v>
      </c>
      <c r="G82" s="59">
        <f t="shared" si="68"/>
        <v>789.8</v>
      </c>
      <c r="H82" s="59">
        <f t="shared" si="69"/>
        <v>7499.9999999999991</v>
      </c>
      <c r="J82" s="1">
        <f t="shared" si="65"/>
        <v>8289.7999999999993</v>
      </c>
      <c r="L82" s="115">
        <f>SUMIFS('Invoices - Preopening'!$I$20:$I$299,'Invoices - Preopening'!$H$20:$H$299,"&gt;="&amp;L$6,'Invoices - Preopening'!$H$20:$H$299,"&lt;="&amp;L$7,'Invoices - Preopening'!$C$20:$C$299,'Model - Preopening &amp; Fees'!$B82)</f>
        <v>0</v>
      </c>
      <c r="M82" s="115">
        <f>SUMIFS('Invoices - Preopening'!$I$20:$I$299,'Invoices - Preopening'!$H$20:$H$299,"&gt;="&amp;M$6,'Invoices - Preopening'!$H$20:$H$299,"&lt;="&amp;M$7,'Invoices - Preopening'!$C$20:$C$299,'Model - Preopening &amp; Fees'!$B82)</f>
        <v>0</v>
      </c>
      <c r="N82" s="115">
        <f>SUMIFS('Invoices - Preopening'!$I$20:$I$299,'Invoices - Preopening'!$H$20:$H$299,"&gt;="&amp;N$6,'Invoices - Preopening'!$H$20:$H$299,"&lt;="&amp;N$7,'Invoices - Preopening'!$C$20:$C$299,'Model - Preopening &amp; Fees'!$B82)</f>
        <v>0</v>
      </c>
      <c r="O82" s="115">
        <f>SUMIFS('Invoices - Preopening'!$I$20:$I$299,'Invoices - Preopening'!$H$20:$H$299,"&gt;="&amp;O$6,'Invoices - Preopening'!$H$20:$H$299,"&lt;="&amp;O$7,'Invoices - Preopening'!$C$20:$C$299,'Model - Preopening &amp; Fees'!$B82)</f>
        <v>0</v>
      </c>
      <c r="P82" s="115">
        <f>SUMIFS('Invoices - Preopening'!$I$20:$I$299,'Invoices - Preopening'!$H$20:$H$299,"&gt;="&amp;P$6,'Invoices - Preopening'!$H$20:$H$299,"&lt;="&amp;P$7,'Invoices - Preopening'!$C$20:$C$299,'Model - Preopening &amp; Fees'!$B82)</f>
        <v>0</v>
      </c>
      <c r="Q82" s="115">
        <f>SUMIFS('Invoices - Preopening'!$I$20:$I$299,'Invoices - Preopening'!$H$20:$H$299,"&gt;="&amp;Q$6,'Invoices - Preopening'!$H$20:$H$299,"&lt;="&amp;Q$7,'Invoices - Preopening'!$C$20:$C$299,'Model - Preopening &amp; Fees'!$B82)</f>
        <v>0</v>
      </c>
      <c r="R82" s="115">
        <f>SUMIFS('Invoices - Preopening'!$I$20:$I$299,'Invoices - Preopening'!$H$20:$H$299,"&gt;="&amp;R$6,'Invoices - Preopening'!$H$20:$H$299,"&lt;="&amp;R$7,'Invoices - Preopening'!$C$20:$C$299,'Model - Preopening &amp; Fees'!$B82)</f>
        <v>0</v>
      </c>
      <c r="S82" s="115">
        <f>SUMIFS('Invoices - Preopening'!$I$20:$I$299,'Invoices - Preopening'!$H$20:$H$299,"&gt;="&amp;S$6,'Invoices - Preopening'!$H$20:$H$299,"&lt;="&amp;S$7,'Invoices - Preopening'!$C$20:$C$299,'Model - Preopening &amp; Fees'!$B82)</f>
        <v>0</v>
      </c>
      <c r="T82" s="115">
        <f>SUMIFS('Invoices - Preopening'!$I$20:$I$299,'Invoices - Preopening'!$H$20:$H$299,"&gt;="&amp;T$6,'Invoices - Preopening'!$H$20:$H$299,"&lt;="&amp;T$7,'Invoices - Preopening'!$C$20:$C$299,'Model - Preopening &amp; Fees'!$B82)</f>
        <v>0</v>
      </c>
      <c r="U82" s="115">
        <f>SUMIFS('Invoices - Preopening'!$I$20:$I$299,'Invoices - Preopening'!$H$20:$H$299,"&gt;="&amp;U$6,'Invoices - Preopening'!$H$20:$H$299,"&lt;="&amp;U$7,'Invoices - Preopening'!$C$20:$C$299,'Model - Preopening &amp; Fees'!$B82)</f>
        <v>0</v>
      </c>
      <c r="V82" s="115">
        <f>SUMIFS('Invoices - Preopening'!$I$20:$I$299,'Invoices - Preopening'!$H$20:$H$299,"&gt;="&amp;V$6,'Invoices - Preopening'!$H$20:$H$299,"&lt;="&amp;V$7,'Invoices - Preopening'!$C$20:$C$299,'Model - Preopening &amp; Fees'!$B82)</f>
        <v>0</v>
      </c>
      <c r="W82" s="115">
        <f>SUMIFS('Invoices - Preopening'!$I$20:$I$299,'Invoices - Preopening'!$H$20:$H$299,"&gt;="&amp;W$6,'Invoices - Preopening'!$H$20:$H$299,"&lt;="&amp;W$7,'Invoices - Preopening'!$C$20:$C$299,'Model - Preopening &amp; Fees'!$B82)</f>
        <v>0</v>
      </c>
      <c r="X82" s="115">
        <f>SUMIFS('Invoices - Preopening'!$I$20:$I$299,'Invoices - Preopening'!$H$20:$H$299,"&gt;="&amp;X$6,'Invoices - Preopening'!$H$20:$H$299,"&lt;="&amp;X$7,'Invoices - Preopening'!$C$20:$C$299,'Model - Preopening &amp; Fees'!$B82)</f>
        <v>0</v>
      </c>
      <c r="Y82" s="115">
        <f>SUMIFS('Invoices - Preopening'!$I$20:$I$299,'Invoices - Preopening'!$H$20:$H$299,"&gt;="&amp;Y$6,'Invoices - Preopening'!$H$20:$H$299,"&lt;="&amp;Y$7,'Invoices - Preopening'!$C$20:$C$299,'Model - Preopening &amp; Fees'!$B82)</f>
        <v>0</v>
      </c>
      <c r="Z82" s="115">
        <f>SUMIFS('Invoices - Preopening'!$I$20:$I$299,'Invoices - Preopening'!$H$20:$H$299,"&gt;="&amp;Z$6,'Invoices - Preopening'!$H$20:$H$299,"&lt;="&amp;Z$7,'Invoices - Preopening'!$C$20:$C$299,'Model - Preopening &amp; Fees'!$B82)</f>
        <v>0</v>
      </c>
      <c r="AA82" s="115">
        <f>SUMIFS('Invoices - Preopening'!$I$20:$I$299,'Invoices - Preopening'!$H$20:$H$299,"&gt;="&amp;AA$6,'Invoices - Preopening'!$H$20:$H$299,"&lt;="&amp;AA$7,'Invoices - Preopening'!$C$20:$C$299,'Model - Preopening &amp; Fees'!$B82)</f>
        <v>0</v>
      </c>
      <c r="AB82" s="115">
        <f>SUMIFS('Invoices - Preopening'!$I$20:$I$299,'Invoices - Preopening'!$H$20:$H$299,"&gt;="&amp;AB$6,'Invoices - Preopening'!$H$20:$H$299,"&lt;="&amp;AB$7,'Invoices - Preopening'!$C$20:$C$299,'Model - Preopening &amp; Fees'!$B82)</f>
        <v>789.8</v>
      </c>
      <c r="AC82" s="115">
        <f>SUMIFS('Invoices - Preopening'!$I$20:$I$299,'Invoices - Preopening'!$H$20:$H$299,"&gt;="&amp;AC$6,'Invoices - Preopening'!$H$20:$H$299,"&lt;="&amp;AC$7,'Invoices - Preopening'!$C$20:$C$299,'Model - Preopening &amp; Fees'!$B82)</f>
        <v>0</v>
      </c>
      <c r="AD82" s="9">
        <v>0</v>
      </c>
      <c r="AE82" s="9">
        <v>0</v>
      </c>
      <c r="AF82" s="9"/>
      <c r="AG82" s="9">
        <v>2500</v>
      </c>
      <c r="AH82" s="9">
        <v>2500</v>
      </c>
      <c r="AI82" s="9">
        <v>2500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T82" s="24">
        <f t="shared" si="70"/>
        <v>0</v>
      </c>
      <c r="AU82" s="24">
        <f t="shared" si="70"/>
        <v>0</v>
      </c>
      <c r="AV82" s="24">
        <f t="shared" si="70"/>
        <v>0</v>
      </c>
      <c r="AW82" s="24">
        <f t="shared" si="70"/>
        <v>0</v>
      </c>
      <c r="AX82" s="24">
        <f t="shared" si="70"/>
        <v>0</v>
      </c>
      <c r="AY82" s="1">
        <f t="shared" si="70"/>
        <v>-789.8</v>
      </c>
      <c r="AZ82" s="1">
        <f t="shared" si="70"/>
        <v>0</v>
      </c>
      <c r="BA82" s="1">
        <f t="shared" si="70"/>
        <v>-7500</v>
      </c>
      <c r="BB82" s="1">
        <f t="shared" si="70"/>
        <v>0</v>
      </c>
      <c r="BC82" s="1">
        <f t="shared" si="70"/>
        <v>0</v>
      </c>
      <c r="BD82" s="1">
        <f t="shared" si="70"/>
        <v>0</v>
      </c>
      <c r="BF82" s="1">
        <f t="shared" si="57"/>
        <v>-8289.7999999999993</v>
      </c>
    </row>
    <row r="83" spans="1:58" x14ac:dyDescent="0.25">
      <c r="D83" s="2"/>
      <c r="E83" s="2"/>
      <c r="F83" s="9"/>
      <c r="J83" s="1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 spans="1:58" x14ac:dyDescent="0.25">
      <c r="B84" s="141" t="s">
        <v>252</v>
      </c>
      <c r="C84" s="141"/>
      <c r="D84" s="142"/>
      <c r="E84" s="142"/>
      <c r="F84" s="61"/>
      <c r="G84" s="141"/>
      <c r="H84" s="141"/>
      <c r="J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  <c r="AE84" s="141"/>
      <c r="AF84" s="141"/>
      <c r="AG84" s="141"/>
      <c r="AH84" s="141"/>
      <c r="AI84" s="141"/>
      <c r="AJ84" s="141"/>
      <c r="AK84" s="141"/>
      <c r="AL84" s="141"/>
      <c r="AM84" s="141"/>
      <c r="AN84" s="141"/>
      <c r="AO84" s="141"/>
      <c r="AP84" s="141"/>
      <c r="AQ84" s="141"/>
      <c r="AR84" s="141"/>
      <c r="AT84" s="141"/>
      <c r="AU84" s="141"/>
      <c r="AV84" s="141"/>
      <c r="AW84" s="141"/>
      <c r="AX84" s="141"/>
      <c r="AY84" s="141"/>
      <c r="AZ84" s="141"/>
      <c r="BA84" s="141"/>
      <c r="BB84" s="141"/>
      <c r="BC84" s="141"/>
      <c r="BD84" s="141"/>
      <c r="BF84" s="141"/>
    </row>
    <row r="85" spans="1:58" x14ac:dyDescent="0.25">
      <c r="A85">
        <v>1</v>
      </c>
      <c r="B85" s="21" t="s">
        <v>307</v>
      </c>
      <c r="C85" s="21"/>
      <c r="D85" s="2" t="s">
        <v>146</v>
      </c>
      <c r="E85" s="2" t="s">
        <v>149</v>
      </c>
      <c r="F85" s="9">
        <v>46702</v>
      </c>
      <c r="G85" s="59">
        <f t="shared" ref="G85" si="71">SUMIFS($L85:$AR85,$L$7:$AR$7,"&lt;="&amp;$J$4)</f>
        <v>12737</v>
      </c>
      <c r="H85" s="59">
        <f t="shared" ref="H85:H89" si="72">J85-G85</f>
        <v>33965.333333333328</v>
      </c>
      <c r="J85" s="1">
        <f t="shared" si="65"/>
        <v>46702.333333333328</v>
      </c>
      <c r="L85" s="115">
        <f>SUMIFS('Invoices - Preopening'!$I$20:$I$299,'Invoices - Preopening'!$H$20:$H$299,"&gt;="&amp;L$6,'Invoices - Preopening'!$H$20:$H$299,"&lt;="&amp;L$7,'Invoices - Preopening'!$C$20:$C$299,'Model - Preopening &amp; Fees'!$B85)</f>
        <v>0</v>
      </c>
      <c r="M85" s="115">
        <f>SUMIFS('Invoices - Preopening'!$I$20:$I$299,'Invoices - Preopening'!$H$20:$H$299,"&gt;="&amp;M$6,'Invoices - Preopening'!$H$20:$H$299,"&lt;="&amp;M$7,'Invoices - Preopening'!$C$20:$C$299,'Model - Preopening &amp; Fees'!$B85)</f>
        <v>0</v>
      </c>
      <c r="N85" s="115">
        <f>SUMIFS('Invoices - Preopening'!$I$20:$I$299,'Invoices - Preopening'!$H$20:$H$299,"&gt;="&amp;N$6,'Invoices - Preopening'!$H$20:$H$299,"&lt;="&amp;N$7,'Invoices - Preopening'!$C$20:$C$299,'Model - Preopening &amp; Fees'!$B85)</f>
        <v>0</v>
      </c>
      <c r="O85" s="115">
        <f>SUMIFS('Invoices - Preopening'!$I$20:$I$299,'Invoices - Preopening'!$H$20:$H$299,"&gt;="&amp;O$6,'Invoices - Preopening'!$H$20:$H$299,"&lt;="&amp;O$7,'Invoices - Preopening'!$C$20:$C$299,'Model - Preopening &amp; Fees'!$B85)</f>
        <v>0</v>
      </c>
      <c r="P85" s="115">
        <f>SUMIFS('Invoices - Preopening'!$I$20:$I$299,'Invoices - Preopening'!$H$20:$H$299,"&gt;="&amp;P$6,'Invoices - Preopening'!$H$20:$H$299,"&lt;="&amp;P$7,'Invoices - Preopening'!$C$20:$C$299,'Model - Preopening &amp; Fees'!$B85)</f>
        <v>0</v>
      </c>
      <c r="Q85" s="115">
        <f>SUMIFS('Invoices - Preopening'!$I$20:$I$299,'Invoices - Preopening'!$H$20:$H$299,"&gt;="&amp;Q$6,'Invoices - Preopening'!$H$20:$H$299,"&lt;="&amp;Q$7,'Invoices - Preopening'!$C$20:$C$299,'Model - Preopening &amp; Fees'!$B85)</f>
        <v>0</v>
      </c>
      <c r="R85" s="115">
        <f>SUMIFS('Invoices - Preopening'!$I$20:$I$299,'Invoices - Preopening'!$H$20:$H$299,"&gt;="&amp;R$6,'Invoices - Preopening'!$H$20:$H$299,"&lt;="&amp;R$7,'Invoices - Preopening'!$C$20:$C$299,'Model - Preopening &amp; Fees'!$B85)</f>
        <v>0</v>
      </c>
      <c r="S85" s="115">
        <f>SUMIFS('Invoices - Preopening'!$I$20:$I$299,'Invoices - Preopening'!$H$20:$H$299,"&gt;="&amp;S$6,'Invoices - Preopening'!$H$20:$H$299,"&lt;="&amp;S$7,'Invoices - Preopening'!$C$20:$C$299,'Model - Preopening &amp; Fees'!$B85)</f>
        <v>0</v>
      </c>
      <c r="T85" s="115">
        <f>SUMIFS('Invoices - Preopening'!$I$20:$I$299,'Invoices - Preopening'!$H$20:$H$299,"&gt;="&amp;T$6,'Invoices - Preopening'!$H$20:$H$299,"&lt;="&amp;T$7,'Invoices - Preopening'!$C$20:$C$299,'Model - Preopening &amp; Fees'!$B85)</f>
        <v>0</v>
      </c>
      <c r="U85" s="115">
        <f>SUMIFS('Invoices - Preopening'!$I$20:$I$299,'Invoices - Preopening'!$H$20:$H$299,"&gt;="&amp;U$6,'Invoices - Preopening'!$H$20:$H$299,"&lt;="&amp;U$7,'Invoices - Preopening'!$C$20:$C$299,'Model - Preopening &amp; Fees'!$B85)</f>
        <v>0</v>
      </c>
      <c r="V85" s="115">
        <f>SUMIFS('Invoices - Preopening'!$I$20:$I$299,'Invoices - Preopening'!$H$20:$H$299,"&gt;="&amp;V$6,'Invoices - Preopening'!$H$20:$H$299,"&lt;="&amp;V$7,'Invoices - Preopening'!$C$20:$C$299,'Model - Preopening &amp; Fees'!$B85)</f>
        <v>0</v>
      </c>
      <c r="W85" s="115">
        <f>SUMIFS('Invoices - Preopening'!$I$20:$I$299,'Invoices - Preopening'!$H$20:$H$299,"&gt;="&amp;W$6,'Invoices - Preopening'!$H$20:$H$299,"&lt;="&amp;W$7,'Invoices - Preopening'!$C$20:$C$299,'Model - Preopening &amp; Fees'!$B85)</f>
        <v>0</v>
      </c>
      <c r="X85" s="115">
        <f>SUMIFS('Invoices - Preopening'!$I$20:$I$299,'Invoices - Preopening'!$H$20:$H$299,"&gt;="&amp;X$6,'Invoices - Preopening'!$H$20:$H$299,"&lt;="&amp;X$7,'Invoices - Preopening'!$C$20:$C$299,'Model - Preopening &amp; Fees'!$B85)</f>
        <v>0</v>
      </c>
      <c r="Y85" s="115">
        <f>SUMIFS('Invoices - Preopening'!$I$20:$I$299,'Invoices - Preopening'!$H$20:$H$299,"&gt;="&amp;Y$6,'Invoices - Preopening'!$H$20:$H$299,"&lt;="&amp;Y$7,'Invoices - Preopening'!$C$20:$C$299,'Model - Preopening &amp; Fees'!$B85)</f>
        <v>0</v>
      </c>
      <c r="Z85" s="115">
        <f>SUMIFS('Invoices - Preopening'!$I$20:$I$299,'Invoices - Preopening'!$H$20:$H$299,"&gt;="&amp;Z$6,'Invoices - Preopening'!$H$20:$H$299,"&lt;="&amp;Z$7,'Invoices - Preopening'!$C$20:$C$299,'Model - Preopening &amp; Fees'!$B85)</f>
        <v>0</v>
      </c>
      <c r="AA85" s="115">
        <f>SUMIFS('Invoices - Preopening'!$I$20:$I$299,'Invoices - Preopening'!$H$20:$H$299,"&gt;="&amp;AA$6,'Invoices - Preopening'!$H$20:$H$299,"&lt;="&amp;AA$7,'Invoices - Preopening'!$C$20:$C$299,'Model - Preopening &amp; Fees'!$B85)</f>
        <v>4245.666666666667</v>
      </c>
      <c r="AB85" s="115">
        <f>SUMIFS('Invoices - Preopening'!$I$20:$I$299,'Invoices - Preopening'!$H$20:$H$299,"&gt;="&amp;AB$6,'Invoices - Preopening'!$H$20:$H$299,"&lt;="&amp;AB$7,'Invoices - Preopening'!$C$20:$C$299,'Model - Preopening &amp; Fees'!$B85)</f>
        <v>4245.666666666667</v>
      </c>
      <c r="AC85" s="115">
        <f>SUMIFS('Invoices - Preopening'!$I$20:$I$299,'Invoices - Preopening'!$H$20:$H$299,"&gt;="&amp;AC$6,'Invoices - Preopening'!$H$20:$H$299,"&lt;="&amp;AC$7,'Invoices - Preopening'!$C$20:$C$299,'Model - Preopening &amp; Fees'!$B85)</f>
        <v>4245.666666666667</v>
      </c>
      <c r="AD85" s="9">
        <v>4245.666666666667</v>
      </c>
      <c r="AE85" s="9">
        <v>4245.666666666667</v>
      </c>
      <c r="AF85" s="9">
        <v>4245.666666666667</v>
      </c>
      <c r="AG85" s="9">
        <v>4245.666666666667</v>
      </c>
      <c r="AH85" s="9">
        <v>4245.666666666667</v>
      </c>
      <c r="AI85" s="9">
        <v>4245.666666666667</v>
      </c>
      <c r="AJ85" s="9">
        <v>4245.666666666667</v>
      </c>
      <c r="AK85" s="9">
        <v>4245.666666666667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T85" s="24">
        <f t="shared" ref="AT85:BD85" si="73">-SUMIFS($L85:$AR85,$L$5:$AR$5,AT$5)</f>
        <v>0</v>
      </c>
      <c r="AU85" s="24">
        <f t="shared" si="73"/>
        <v>0</v>
      </c>
      <c r="AV85" s="24">
        <f t="shared" si="73"/>
        <v>0</v>
      </c>
      <c r="AW85" s="24">
        <f t="shared" si="73"/>
        <v>0</v>
      </c>
      <c r="AX85" s="24">
        <f t="shared" si="73"/>
        <v>0</v>
      </c>
      <c r="AY85" s="1">
        <f t="shared" si="73"/>
        <v>-12737</v>
      </c>
      <c r="AZ85" s="1">
        <f t="shared" si="73"/>
        <v>-12737</v>
      </c>
      <c r="BA85" s="1">
        <f t="shared" si="73"/>
        <v>-12737</v>
      </c>
      <c r="BB85" s="1">
        <f t="shared" si="73"/>
        <v>-8491.3333333333339</v>
      </c>
      <c r="BC85" s="1">
        <f t="shared" si="73"/>
        <v>0</v>
      </c>
      <c r="BD85" s="1">
        <f t="shared" si="73"/>
        <v>0</v>
      </c>
      <c r="BF85" s="1">
        <f t="shared" si="57"/>
        <v>-46702.333333333336</v>
      </c>
    </row>
    <row r="86" spans="1:58" x14ac:dyDescent="0.25">
      <c r="A86">
        <v>1</v>
      </c>
      <c r="B86" s="21" t="s">
        <v>157</v>
      </c>
      <c r="C86" s="21"/>
      <c r="D86" s="2" t="s">
        <v>146</v>
      </c>
      <c r="E86" s="2" t="s">
        <v>149</v>
      </c>
      <c r="F86" s="9">
        <v>40000</v>
      </c>
      <c r="G86" s="59">
        <f>SUMIFS($L86:$AR86,$L$7:$AR$7,"&lt;="&amp;$J$4)</f>
        <v>0</v>
      </c>
      <c r="H86" s="59">
        <f t="shared" si="72"/>
        <v>45833.333333333343</v>
      </c>
      <c r="J86" s="1">
        <f>SUM(L86:AR86)</f>
        <v>45833.333333333343</v>
      </c>
      <c r="L86" s="115">
        <f>SUMIFS('Invoices - Preopening'!$I$20:$I$299,'Invoices - Preopening'!$H$20:$H$299,"&gt;="&amp;L$6,'Invoices - Preopening'!$H$20:$H$299,"&lt;="&amp;L$7,'Invoices - Preopening'!$C$20:$C$299,'Model - Preopening &amp; Fees'!$B86)</f>
        <v>0</v>
      </c>
      <c r="M86" s="115">
        <f>SUMIFS('Invoices - Preopening'!$I$20:$I$299,'Invoices - Preopening'!$H$20:$H$299,"&gt;="&amp;M$6,'Invoices - Preopening'!$H$20:$H$299,"&lt;="&amp;M$7,'Invoices - Preopening'!$C$20:$C$299,'Model - Preopening &amp; Fees'!$B86)</f>
        <v>0</v>
      </c>
      <c r="N86" s="115">
        <f>SUMIFS('Invoices - Preopening'!$I$20:$I$299,'Invoices - Preopening'!$H$20:$H$299,"&gt;="&amp;N$6,'Invoices - Preopening'!$H$20:$H$299,"&lt;="&amp;N$7,'Invoices - Preopening'!$C$20:$C$299,'Model - Preopening &amp; Fees'!$B86)</f>
        <v>0</v>
      </c>
      <c r="O86" s="115">
        <f>SUMIFS('Invoices - Preopening'!$I$20:$I$299,'Invoices - Preopening'!$H$20:$H$299,"&gt;="&amp;O$6,'Invoices - Preopening'!$H$20:$H$299,"&lt;="&amp;O$7,'Invoices - Preopening'!$C$20:$C$299,'Model - Preopening &amp; Fees'!$B86)</f>
        <v>0</v>
      </c>
      <c r="P86" s="115">
        <f>SUMIFS('Invoices - Preopening'!$I$20:$I$299,'Invoices - Preopening'!$H$20:$H$299,"&gt;="&amp;P$6,'Invoices - Preopening'!$H$20:$H$299,"&lt;="&amp;P$7,'Invoices - Preopening'!$C$20:$C$299,'Model - Preopening &amp; Fees'!$B86)</f>
        <v>0</v>
      </c>
      <c r="Q86" s="115">
        <f>SUMIFS('Invoices - Preopening'!$I$20:$I$299,'Invoices - Preopening'!$H$20:$H$299,"&gt;="&amp;Q$6,'Invoices - Preopening'!$H$20:$H$299,"&lt;="&amp;Q$7,'Invoices - Preopening'!$C$20:$C$299,'Model - Preopening &amp; Fees'!$B86)</f>
        <v>0</v>
      </c>
      <c r="R86" s="115">
        <f>SUMIFS('Invoices - Preopening'!$I$20:$I$299,'Invoices - Preopening'!$H$20:$H$299,"&gt;="&amp;R$6,'Invoices - Preopening'!$H$20:$H$299,"&lt;="&amp;R$7,'Invoices - Preopening'!$C$20:$C$299,'Model - Preopening &amp; Fees'!$B86)</f>
        <v>0</v>
      </c>
      <c r="S86" s="115">
        <f>SUMIFS('Invoices - Preopening'!$I$20:$I$299,'Invoices - Preopening'!$H$20:$H$299,"&gt;="&amp;S$6,'Invoices - Preopening'!$H$20:$H$299,"&lt;="&amp;S$7,'Invoices - Preopening'!$C$20:$C$299,'Model - Preopening &amp; Fees'!$B86)</f>
        <v>0</v>
      </c>
      <c r="T86" s="115">
        <f>SUMIFS('Invoices - Preopening'!$I$20:$I$299,'Invoices - Preopening'!$H$20:$H$299,"&gt;="&amp;T$6,'Invoices - Preopening'!$H$20:$H$299,"&lt;="&amp;T$7,'Invoices - Preopening'!$C$20:$C$299,'Model - Preopening &amp; Fees'!$B86)</f>
        <v>0</v>
      </c>
      <c r="U86" s="115">
        <f>SUMIFS('Invoices - Preopening'!$I$20:$I$299,'Invoices - Preopening'!$H$20:$H$299,"&gt;="&amp;U$6,'Invoices - Preopening'!$H$20:$H$299,"&lt;="&amp;U$7,'Invoices - Preopening'!$C$20:$C$299,'Model - Preopening &amp; Fees'!$B86)</f>
        <v>0</v>
      </c>
      <c r="V86" s="115">
        <f>SUMIFS('Invoices - Preopening'!$I$20:$I$299,'Invoices - Preopening'!$H$20:$H$299,"&gt;="&amp;V$6,'Invoices - Preopening'!$H$20:$H$299,"&lt;="&amp;V$7,'Invoices - Preopening'!$C$20:$C$299,'Model - Preopening &amp; Fees'!$B86)</f>
        <v>0</v>
      </c>
      <c r="W86" s="115">
        <f>SUMIFS('Invoices - Preopening'!$I$20:$I$299,'Invoices - Preopening'!$H$20:$H$299,"&gt;="&amp;W$6,'Invoices - Preopening'!$H$20:$H$299,"&lt;="&amp;W$7,'Invoices - Preopening'!$C$20:$C$299,'Model - Preopening &amp; Fees'!$B86)</f>
        <v>0</v>
      </c>
      <c r="X86" s="115">
        <f>SUMIFS('Invoices - Preopening'!$I$20:$I$299,'Invoices - Preopening'!$H$20:$H$299,"&gt;="&amp;X$6,'Invoices - Preopening'!$H$20:$H$299,"&lt;="&amp;X$7,'Invoices - Preopening'!$C$20:$C$299,'Model - Preopening &amp; Fees'!$B86)</f>
        <v>0</v>
      </c>
      <c r="Y86" s="115">
        <f>SUMIFS('Invoices - Preopening'!$I$20:$I$299,'Invoices - Preopening'!$H$20:$H$299,"&gt;="&amp;Y$6,'Invoices - Preopening'!$H$20:$H$299,"&lt;="&amp;Y$7,'Invoices - Preopening'!$C$20:$C$299,'Model - Preopening &amp; Fees'!$B86)</f>
        <v>0</v>
      </c>
      <c r="Z86" s="115">
        <f>SUMIFS('Invoices - Preopening'!$I$20:$I$299,'Invoices - Preopening'!$H$20:$H$299,"&gt;="&amp;Z$6,'Invoices - Preopening'!$H$20:$H$299,"&lt;="&amp;Z$7,'Invoices - Preopening'!$C$20:$C$299,'Model - Preopening &amp; Fees'!$B86)</f>
        <v>0</v>
      </c>
      <c r="AA86" s="115">
        <f>SUMIFS('Invoices - Preopening'!$I$20:$I$299,'Invoices - Preopening'!$H$20:$H$299,"&gt;="&amp;AA$6,'Invoices - Preopening'!$H$20:$H$299,"&lt;="&amp;AA$7,'Invoices - Preopening'!$C$20:$C$299,'Model - Preopening &amp; Fees'!$B86)</f>
        <v>0</v>
      </c>
      <c r="AB86" s="115">
        <f>SUMIFS('Invoices - Preopening'!$I$20:$I$299,'Invoices - Preopening'!$H$20:$H$299,"&gt;="&amp;AB$6,'Invoices - Preopening'!$H$20:$H$299,"&lt;="&amp;AB$7,'Invoices - Preopening'!$C$20:$C$299,'Model - Preopening &amp; Fees'!$B86)</f>
        <v>0</v>
      </c>
      <c r="AC86" s="115">
        <f>SUMIFS('Invoices - Preopening'!$I$20:$I$299,'Invoices - Preopening'!$H$20:$H$299,"&gt;="&amp;AC$6,'Invoices - Preopening'!$H$20:$H$299,"&lt;="&amp;AC$7,'Invoices - Preopening'!$C$20:$C$299,'Model - Preopening &amp; Fees'!$B86)</f>
        <v>0</v>
      </c>
      <c r="AD86" s="9">
        <v>0</v>
      </c>
      <c r="AE86" s="9">
        <v>0</v>
      </c>
      <c r="AF86" s="9">
        <v>0</v>
      </c>
      <c r="AG86" s="9">
        <f>(80000/12)*1.375</f>
        <v>9166.6666666666679</v>
      </c>
      <c r="AH86" s="9">
        <f t="shared" ref="AH86:AK86" si="74">(80000/12)*1.375</f>
        <v>9166.6666666666679</v>
      </c>
      <c r="AI86" s="9">
        <f t="shared" si="74"/>
        <v>9166.6666666666679</v>
      </c>
      <c r="AJ86" s="9">
        <f t="shared" si="74"/>
        <v>9166.6666666666679</v>
      </c>
      <c r="AK86" s="9">
        <f t="shared" si="74"/>
        <v>9166.6666666666679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T86" s="24">
        <f t="shared" ref="AT86:BD89" si="75">-SUMIFS($L86:$AR86,$L$5:$AR$5,AT$5)</f>
        <v>0</v>
      </c>
      <c r="AU86" s="24">
        <f t="shared" si="75"/>
        <v>0</v>
      </c>
      <c r="AV86" s="24">
        <f t="shared" si="75"/>
        <v>0</v>
      </c>
      <c r="AW86" s="24">
        <f t="shared" si="75"/>
        <v>0</v>
      </c>
      <c r="AX86" s="24">
        <f t="shared" si="75"/>
        <v>0</v>
      </c>
      <c r="AY86" s="1">
        <f t="shared" si="75"/>
        <v>0</v>
      </c>
      <c r="AZ86" s="1">
        <f t="shared" si="75"/>
        <v>0</v>
      </c>
      <c r="BA86" s="1">
        <f t="shared" si="75"/>
        <v>-27500.000000000004</v>
      </c>
      <c r="BB86" s="1">
        <f t="shared" si="75"/>
        <v>-18333.333333333336</v>
      </c>
      <c r="BC86" s="1">
        <f t="shared" si="75"/>
        <v>0</v>
      </c>
      <c r="BD86" s="1">
        <f t="shared" si="75"/>
        <v>0</v>
      </c>
      <c r="BF86" s="1">
        <f>SUM(AT86:BD86)</f>
        <v>-45833.333333333343</v>
      </c>
    </row>
    <row r="87" spans="1:58" x14ac:dyDescent="0.25">
      <c r="A87">
        <v>1</v>
      </c>
      <c r="B87" s="21" t="s">
        <v>276</v>
      </c>
      <c r="C87" s="21"/>
      <c r="D87" s="2" t="s">
        <v>146</v>
      </c>
      <c r="E87" s="2" t="s">
        <v>149</v>
      </c>
      <c r="F87" s="9">
        <v>60000</v>
      </c>
      <c r="G87" s="59">
        <f>SUMIFS($L87:$AR87,$L$7:$AR$7,"&lt;="&amp;$J$4)</f>
        <v>0</v>
      </c>
      <c r="H87" s="59">
        <f t="shared" si="72"/>
        <v>49000</v>
      </c>
      <c r="J87" s="1">
        <f>SUM(L87:AR87)</f>
        <v>49000</v>
      </c>
      <c r="L87" s="115">
        <f>SUMIFS('Invoices - Preopening'!$I$20:$I$299,'Invoices - Preopening'!$H$20:$H$299,"&gt;="&amp;L$6,'Invoices - Preopening'!$H$20:$H$299,"&lt;="&amp;L$7,'Invoices - Preopening'!$C$20:$C$299,'Model - Preopening &amp; Fees'!$B87)</f>
        <v>0</v>
      </c>
      <c r="M87" s="115">
        <f>SUMIFS('Invoices - Preopening'!$I$20:$I$299,'Invoices - Preopening'!$H$20:$H$299,"&gt;="&amp;M$6,'Invoices - Preopening'!$H$20:$H$299,"&lt;="&amp;M$7,'Invoices - Preopening'!$C$20:$C$299,'Model - Preopening &amp; Fees'!$B87)</f>
        <v>0</v>
      </c>
      <c r="N87" s="115">
        <f>SUMIFS('Invoices - Preopening'!$I$20:$I$299,'Invoices - Preopening'!$H$20:$H$299,"&gt;="&amp;N$6,'Invoices - Preopening'!$H$20:$H$299,"&lt;="&amp;N$7,'Invoices - Preopening'!$C$20:$C$299,'Model - Preopening &amp; Fees'!$B87)</f>
        <v>0</v>
      </c>
      <c r="O87" s="115">
        <f>SUMIFS('Invoices - Preopening'!$I$20:$I$299,'Invoices - Preopening'!$H$20:$H$299,"&gt;="&amp;O$6,'Invoices - Preopening'!$H$20:$H$299,"&lt;="&amp;O$7,'Invoices - Preopening'!$C$20:$C$299,'Model - Preopening &amp; Fees'!$B87)</f>
        <v>0</v>
      </c>
      <c r="P87" s="115">
        <f>SUMIFS('Invoices - Preopening'!$I$20:$I$299,'Invoices - Preopening'!$H$20:$H$299,"&gt;="&amp;P$6,'Invoices - Preopening'!$H$20:$H$299,"&lt;="&amp;P$7,'Invoices - Preopening'!$C$20:$C$299,'Model - Preopening &amp; Fees'!$B87)</f>
        <v>0</v>
      </c>
      <c r="Q87" s="115">
        <f>SUMIFS('Invoices - Preopening'!$I$20:$I$299,'Invoices - Preopening'!$H$20:$H$299,"&gt;="&amp;Q$6,'Invoices - Preopening'!$H$20:$H$299,"&lt;="&amp;Q$7,'Invoices - Preopening'!$C$20:$C$299,'Model - Preopening &amp; Fees'!$B87)</f>
        <v>0</v>
      </c>
      <c r="R87" s="115">
        <f>SUMIFS('Invoices - Preopening'!$I$20:$I$299,'Invoices - Preopening'!$H$20:$H$299,"&gt;="&amp;R$6,'Invoices - Preopening'!$H$20:$H$299,"&lt;="&amp;R$7,'Invoices - Preopening'!$C$20:$C$299,'Model - Preopening &amp; Fees'!$B87)</f>
        <v>0</v>
      </c>
      <c r="S87" s="115">
        <f>SUMIFS('Invoices - Preopening'!$I$20:$I$299,'Invoices - Preopening'!$H$20:$H$299,"&gt;="&amp;S$6,'Invoices - Preopening'!$H$20:$H$299,"&lt;="&amp;S$7,'Invoices - Preopening'!$C$20:$C$299,'Model - Preopening &amp; Fees'!$B87)</f>
        <v>0</v>
      </c>
      <c r="T87" s="115">
        <f>SUMIFS('Invoices - Preopening'!$I$20:$I$299,'Invoices - Preopening'!$H$20:$H$299,"&gt;="&amp;T$6,'Invoices - Preopening'!$H$20:$H$299,"&lt;="&amp;T$7,'Invoices - Preopening'!$C$20:$C$299,'Model - Preopening &amp; Fees'!$B87)</f>
        <v>0</v>
      </c>
      <c r="U87" s="115">
        <f>SUMIFS('Invoices - Preopening'!$I$20:$I$299,'Invoices - Preopening'!$H$20:$H$299,"&gt;="&amp;U$6,'Invoices - Preopening'!$H$20:$H$299,"&lt;="&amp;U$7,'Invoices - Preopening'!$C$20:$C$299,'Model - Preopening &amp; Fees'!$B87)</f>
        <v>0</v>
      </c>
      <c r="V87" s="115">
        <f>SUMIFS('Invoices - Preopening'!$I$20:$I$299,'Invoices - Preopening'!$H$20:$H$299,"&gt;="&amp;V$6,'Invoices - Preopening'!$H$20:$H$299,"&lt;="&amp;V$7,'Invoices - Preopening'!$C$20:$C$299,'Model - Preopening &amp; Fees'!$B87)</f>
        <v>0</v>
      </c>
      <c r="W87" s="115">
        <f>SUMIFS('Invoices - Preopening'!$I$20:$I$299,'Invoices - Preopening'!$H$20:$H$299,"&gt;="&amp;W$6,'Invoices - Preopening'!$H$20:$H$299,"&lt;="&amp;W$7,'Invoices - Preopening'!$C$20:$C$299,'Model - Preopening &amp; Fees'!$B87)</f>
        <v>0</v>
      </c>
      <c r="X87" s="115">
        <f>SUMIFS('Invoices - Preopening'!$I$20:$I$299,'Invoices - Preopening'!$H$20:$H$299,"&gt;="&amp;X$6,'Invoices - Preopening'!$H$20:$H$299,"&lt;="&amp;X$7,'Invoices - Preopening'!$C$20:$C$299,'Model - Preopening &amp; Fees'!$B87)</f>
        <v>0</v>
      </c>
      <c r="Y87" s="115">
        <f>SUMIFS('Invoices - Preopening'!$I$20:$I$299,'Invoices - Preopening'!$H$20:$H$299,"&gt;="&amp;Y$6,'Invoices - Preopening'!$H$20:$H$299,"&lt;="&amp;Y$7,'Invoices - Preopening'!$C$20:$C$299,'Model - Preopening &amp; Fees'!$B87)</f>
        <v>0</v>
      </c>
      <c r="Z87" s="115">
        <f>SUMIFS('Invoices - Preopening'!$I$20:$I$299,'Invoices - Preopening'!$H$20:$H$299,"&gt;="&amp;Z$6,'Invoices - Preopening'!$H$20:$H$299,"&lt;="&amp;Z$7,'Invoices - Preopening'!$C$20:$C$299,'Model - Preopening &amp; Fees'!$B87)</f>
        <v>0</v>
      </c>
      <c r="AA87" s="115">
        <f>SUMIFS('Invoices - Preopening'!$I$20:$I$299,'Invoices - Preopening'!$H$20:$H$299,"&gt;="&amp;AA$6,'Invoices - Preopening'!$H$20:$H$299,"&lt;="&amp;AA$7,'Invoices - Preopening'!$C$20:$C$299,'Model - Preopening &amp; Fees'!$B87)</f>
        <v>0</v>
      </c>
      <c r="AB87" s="115">
        <f>SUMIFS('Invoices - Preopening'!$I$20:$I$299,'Invoices - Preopening'!$H$20:$H$299,"&gt;="&amp;AB$6,'Invoices - Preopening'!$H$20:$H$299,"&lt;="&amp;AB$7,'Invoices - Preopening'!$C$20:$C$299,'Model - Preopening &amp; Fees'!$B87)</f>
        <v>0</v>
      </c>
      <c r="AC87" s="115">
        <f>SUMIFS('Invoices - Preopening'!$I$20:$I$299,'Invoices - Preopening'!$H$20:$H$299,"&gt;="&amp;AC$6,'Invoices - Preopening'!$H$20:$H$299,"&lt;="&amp;AC$7,'Invoices - Preopening'!$C$20:$C$299,'Model - Preopening &amp; Fees'!$B87)</f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4000</v>
      </c>
      <c r="AJ87" s="9">
        <v>10000</v>
      </c>
      <c r="AK87" s="9">
        <v>35000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T87" s="24">
        <f t="shared" ref="AT87:BD87" si="76">-SUMIFS($L87:$AR87,$L$5:$AR$5,AT$5)</f>
        <v>0</v>
      </c>
      <c r="AU87" s="24">
        <f t="shared" si="76"/>
        <v>0</v>
      </c>
      <c r="AV87" s="24">
        <f t="shared" si="76"/>
        <v>0</v>
      </c>
      <c r="AW87" s="24">
        <f t="shared" si="76"/>
        <v>0</v>
      </c>
      <c r="AX87" s="24">
        <f t="shared" si="76"/>
        <v>0</v>
      </c>
      <c r="AY87" s="1">
        <f t="shared" si="76"/>
        <v>0</v>
      </c>
      <c r="AZ87" s="1">
        <f t="shared" si="76"/>
        <v>0</v>
      </c>
      <c r="BA87" s="1">
        <f t="shared" si="76"/>
        <v>-4000</v>
      </c>
      <c r="BB87" s="1">
        <f t="shared" si="76"/>
        <v>-45000</v>
      </c>
      <c r="BC87" s="1">
        <f t="shared" si="76"/>
        <v>0</v>
      </c>
      <c r="BD87" s="1">
        <f t="shared" si="76"/>
        <v>0</v>
      </c>
      <c r="BF87" s="1">
        <f>SUM(AT87:BD87)</f>
        <v>-49000</v>
      </c>
    </row>
    <row r="88" spans="1:58" x14ac:dyDescent="0.25">
      <c r="A88">
        <v>1</v>
      </c>
      <c r="B88" s="21" t="s">
        <v>253</v>
      </c>
      <c r="C88" s="21"/>
      <c r="D88" s="2" t="s">
        <v>146</v>
      </c>
      <c r="E88" s="2" t="s">
        <v>149</v>
      </c>
      <c r="F88" s="9">
        <v>15000</v>
      </c>
      <c r="G88" s="59">
        <f>SUMIFS($L88:$AR88,$L$7:$AR$7,"&lt;="&amp;$J$4)</f>
        <v>0</v>
      </c>
      <c r="H88" s="59">
        <f t="shared" si="72"/>
        <v>13200</v>
      </c>
      <c r="J88" s="1">
        <f>SUM(L88:AR88)</f>
        <v>13200</v>
      </c>
      <c r="L88" s="115">
        <f>SUMIFS('Invoices - Preopening'!$I$20:$I$299,'Invoices - Preopening'!$H$20:$H$299,"&gt;="&amp;L$6,'Invoices - Preopening'!$H$20:$H$299,"&lt;="&amp;L$7,'Invoices - Preopening'!$C$20:$C$299,'Model - Preopening &amp; Fees'!$B88)</f>
        <v>0</v>
      </c>
      <c r="M88" s="115">
        <f>SUMIFS('Invoices - Preopening'!$I$20:$I$299,'Invoices - Preopening'!$H$20:$H$299,"&gt;="&amp;M$6,'Invoices - Preopening'!$H$20:$H$299,"&lt;="&amp;M$7,'Invoices - Preopening'!$C$20:$C$299,'Model - Preopening &amp; Fees'!$B88)</f>
        <v>0</v>
      </c>
      <c r="N88" s="115">
        <f>SUMIFS('Invoices - Preopening'!$I$20:$I$299,'Invoices - Preopening'!$H$20:$H$299,"&gt;="&amp;N$6,'Invoices - Preopening'!$H$20:$H$299,"&lt;="&amp;N$7,'Invoices - Preopening'!$C$20:$C$299,'Model - Preopening &amp; Fees'!$B88)</f>
        <v>0</v>
      </c>
      <c r="O88" s="115">
        <f>SUMIFS('Invoices - Preopening'!$I$20:$I$299,'Invoices - Preopening'!$H$20:$H$299,"&gt;="&amp;O$6,'Invoices - Preopening'!$H$20:$H$299,"&lt;="&amp;O$7,'Invoices - Preopening'!$C$20:$C$299,'Model - Preopening &amp; Fees'!$B88)</f>
        <v>0</v>
      </c>
      <c r="P88" s="115">
        <f>SUMIFS('Invoices - Preopening'!$I$20:$I$299,'Invoices - Preopening'!$H$20:$H$299,"&gt;="&amp;P$6,'Invoices - Preopening'!$H$20:$H$299,"&lt;="&amp;P$7,'Invoices - Preopening'!$C$20:$C$299,'Model - Preopening &amp; Fees'!$B88)</f>
        <v>0</v>
      </c>
      <c r="Q88" s="115">
        <f>SUMIFS('Invoices - Preopening'!$I$20:$I$299,'Invoices - Preopening'!$H$20:$H$299,"&gt;="&amp;Q$6,'Invoices - Preopening'!$H$20:$H$299,"&lt;="&amp;Q$7,'Invoices - Preopening'!$C$20:$C$299,'Model - Preopening &amp; Fees'!$B88)</f>
        <v>0</v>
      </c>
      <c r="R88" s="115">
        <f>SUMIFS('Invoices - Preopening'!$I$20:$I$299,'Invoices - Preopening'!$H$20:$H$299,"&gt;="&amp;R$6,'Invoices - Preopening'!$H$20:$H$299,"&lt;="&amp;R$7,'Invoices - Preopening'!$C$20:$C$299,'Model - Preopening &amp; Fees'!$B88)</f>
        <v>0</v>
      </c>
      <c r="S88" s="115">
        <f>SUMIFS('Invoices - Preopening'!$I$20:$I$299,'Invoices - Preopening'!$H$20:$H$299,"&gt;="&amp;S$6,'Invoices - Preopening'!$H$20:$H$299,"&lt;="&amp;S$7,'Invoices - Preopening'!$C$20:$C$299,'Model - Preopening &amp; Fees'!$B88)</f>
        <v>0</v>
      </c>
      <c r="T88" s="115">
        <f>SUMIFS('Invoices - Preopening'!$I$20:$I$299,'Invoices - Preopening'!$H$20:$H$299,"&gt;="&amp;T$6,'Invoices - Preopening'!$H$20:$H$299,"&lt;="&amp;T$7,'Invoices - Preopening'!$C$20:$C$299,'Model - Preopening &amp; Fees'!$B88)</f>
        <v>0</v>
      </c>
      <c r="U88" s="115">
        <f>SUMIFS('Invoices - Preopening'!$I$20:$I$299,'Invoices - Preopening'!$H$20:$H$299,"&gt;="&amp;U$6,'Invoices - Preopening'!$H$20:$H$299,"&lt;="&amp;U$7,'Invoices - Preopening'!$C$20:$C$299,'Model - Preopening &amp; Fees'!$B88)</f>
        <v>0</v>
      </c>
      <c r="V88" s="115">
        <f>SUMIFS('Invoices - Preopening'!$I$20:$I$299,'Invoices - Preopening'!$H$20:$H$299,"&gt;="&amp;V$6,'Invoices - Preopening'!$H$20:$H$299,"&lt;="&amp;V$7,'Invoices - Preopening'!$C$20:$C$299,'Model - Preopening &amp; Fees'!$B88)</f>
        <v>0</v>
      </c>
      <c r="W88" s="115">
        <f>SUMIFS('Invoices - Preopening'!$I$20:$I$299,'Invoices - Preopening'!$H$20:$H$299,"&gt;="&amp;W$6,'Invoices - Preopening'!$H$20:$H$299,"&lt;="&amp;W$7,'Invoices - Preopening'!$C$20:$C$299,'Model - Preopening &amp; Fees'!$B88)</f>
        <v>0</v>
      </c>
      <c r="X88" s="115">
        <f>SUMIFS('Invoices - Preopening'!$I$20:$I$299,'Invoices - Preopening'!$H$20:$H$299,"&gt;="&amp;X$6,'Invoices - Preopening'!$H$20:$H$299,"&lt;="&amp;X$7,'Invoices - Preopening'!$C$20:$C$299,'Model - Preopening &amp; Fees'!$B88)</f>
        <v>0</v>
      </c>
      <c r="Y88" s="115">
        <f>SUMIFS('Invoices - Preopening'!$I$20:$I$299,'Invoices - Preopening'!$H$20:$H$299,"&gt;="&amp;Y$6,'Invoices - Preopening'!$H$20:$H$299,"&lt;="&amp;Y$7,'Invoices - Preopening'!$C$20:$C$299,'Model - Preopening &amp; Fees'!$B88)</f>
        <v>0</v>
      </c>
      <c r="Z88" s="115">
        <f>SUMIFS('Invoices - Preopening'!$I$20:$I$299,'Invoices - Preopening'!$H$20:$H$299,"&gt;="&amp;Z$6,'Invoices - Preopening'!$H$20:$H$299,"&lt;="&amp;Z$7,'Invoices - Preopening'!$C$20:$C$299,'Model - Preopening &amp; Fees'!$B88)</f>
        <v>0</v>
      </c>
      <c r="AA88" s="115">
        <f>SUMIFS('Invoices - Preopening'!$I$20:$I$299,'Invoices - Preopening'!$H$20:$H$299,"&gt;="&amp;AA$6,'Invoices - Preopening'!$H$20:$H$299,"&lt;="&amp;AA$7,'Invoices - Preopening'!$C$20:$C$299,'Model - Preopening &amp; Fees'!$B88)</f>
        <v>0</v>
      </c>
      <c r="AB88" s="115">
        <f>SUMIFS('Invoices - Preopening'!$I$20:$I$299,'Invoices - Preopening'!$H$20:$H$299,"&gt;="&amp;AB$6,'Invoices - Preopening'!$H$20:$H$299,"&lt;="&amp;AB$7,'Invoices - Preopening'!$C$20:$C$299,'Model - Preopening &amp; Fees'!$B88)</f>
        <v>0</v>
      </c>
      <c r="AC88" s="115">
        <f>SUMIFS('Invoices - Preopening'!$I$20:$I$299,'Invoices - Preopening'!$H$20:$H$299,"&gt;="&amp;AC$6,'Invoices - Preopening'!$H$20:$H$299,"&lt;="&amp;AC$7,'Invoices - Preopening'!$C$20:$C$299,'Model - Preopening &amp; Fees'!$B88)</f>
        <v>0</v>
      </c>
      <c r="AD88" s="9">
        <v>0</v>
      </c>
      <c r="AE88" s="9">
        <v>0</v>
      </c>
      <c r="AF88" s="9">
        <v>2200</v>
      </c>
      <c r="AG88" s="9">
        <v>2200</v>
      </c>
      <c r="AH88" s="9">
        <v>2200</v>
      </c>
      <c r="AI88" s="9">
        <v>2200</v>
      </c>
      <c r="AJ88" s="9">
        <v>2200</v>
      </c>
      <c r="AK88" s="9">
        <v>2200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T88" s="24">
        <f t="shared" si="75"/>
        <v>0</v>
      </c>
      <c r="AU88" s="24">
        <f t="shared" si="75"/>
        <v>0</v>
      </c>
      <c r="AV88" s="24">
        <f t="shared" si="75"/>
        <v>0</v>
      </c>
      <c r="AW88" s="24">
        <f t="shared" si="75"/>
        <v>0</v>
      </c>
      <c r="AX88" s="24">
        <f t="shared" si="75"/>
        <v>0</v>
      </c>
      <c r="AY88" s="1">
        <f t="shared" si="75"/>
        <v>0</v>
      </c>
      <c r="AZ88" s="1">
        <f t="shared" si="75"/>
        <v>-2200</v>
      </c>
      <c r="BA88" s="1">
        <f t="shared" si="75"/>
        <v>-6600</v>
      </c>
      <c r="BB88" s="1">
        <f t="shared" si="75"/>
        <v>-4400</v>
      </c>
      <c r="BC88" s="1">
        <f t="shared" si="75"/>
        <v>0</v>
      </c>
      <c r="BD88" s="1">
        <f t="shared" si="75"/>
        <v>0</v>
      </c>
      <c r="BF88" s="1">
        <f>SUM(AT88:BD88)</f>
        <v>-13200</v>
      </c>
    </row>
    <row r="89" spans="1:58" x14ac:dyDescent="0.25">
      <c r="A89">
        <v>1</v>
      </c>
      <c r="B89" s="21" t="s">
        <v>254</v>
      </c>
      <c r="C89" s="21"/>
      <c r="D89" s="2" t="s">
        <v>146</v>
      </c>
      <c r="E89" s="2" t="s">
        <v>149</v>
      </c>
      <c r="F89" s="9">
        <v>18000</v>
      </c>
      <c r="G89" s="59">
        <f>SUMIFS($L89:$AR89,$L$7:$AR$7,"&lt;="&amp;$J$4)</f>
        <v>2000</v>
      </c>
      <c r="H89" s="59">
        <f t="shared" si="72"/>
        <v>16000</v>
      </c>
      <c r="J89" s="1">
        <f t="shared" ref="J89" si="77">SUM(L89:AR89)</f>
        <v>18000</v>
      </c>
      <c r="L89" s="115">
        <f>SUMIFS('Invoices - Preopening'!$I$20:$I$299,'Invoices - Preopening'!$H$20:$H$299,"&gt;="&amp;L$6,'Invoices - Preopening'!$H$20:$H$299,"&lt;="&amp;L$7,'Invoices - Preopening'!$C$20:$C$299,'Model - Preopening &amp; Fees'!$B89)</f>
        <v>0</v>
      </c>
      <c r="M89" s="115">
        <f>SUMIFS('Invoices - Preopening'!$I$20:$I$299,'Invoices - Preopening'!$H$20:$H$299,"&gt;="&amp;M$6,'Invoices - Preopening'!$H$20:$H$299,"&lt;="&amp;M$7,'Invoices - Preopening'!$C$20:$C$299,'Model - Preopening &amp; Fees'!$B89)</f>
        <v>0</v>
      </c>
      <c r="N89" s="115">
        <f>SUMIFS('Invoices - Preopening'!$I$20:$I$299,'Invoices - Preopening'!$H$20:$H$299,"&gt;="&amp;N$6,'Invoices - Preopening'!$H$20:$H$299,"&lt;="&amp;N$7,'Invoices - Preopening'!$C$20:$C$299,'Model - Preopening &amp; Fees'!$B89)</f>
        <v>0</v>
      </c>
      <c r="O89" s="115">
        <f>SUMIFS('Invoices - Preopening'!$I$20:$I$299,'Invoices - Preopening'!$H$20:$H$299,"&gt;="&amp;O$6,'Invoices - Preopening'!$H$20:$H$299,"&lt;="&amp;O$7,'Invoices - Preopening'!$C$20:$C$299,'Model - Preopening &amp; Fees'!$B89)</f>
        <v>0</v>
      </c>
      <c r="P89" s="115">
        <f>SUMIFS('Invoices - Preopening'!$I$20:$I$299,'Invoices - Preopening'!$H$20:$H$299,"&gt;="&amp;P$6,'Invoices - Preopening'!$H$20:$H$299,"&lt;="&amp;P$7,'Invoices - Preopening'!$C$20:$C$299,'Model - Preopening &amp; Fees'!$B89)</f>
        <v>0</v>
      </c>
      <c r="Q89" s="115">
        <f>SUMIFS('Invoices - Preopening'!$I$20:$I$299,'Invoices - Preopening'!$H$20:$H$299,"&gt;="&amp;Q$6,'Invoices - Preopening'!$H$20:$H$299,"&lt;="&amp;Q$7,'Invoices - Preopening'!$C$20:$C$299,'Model - Preopening &amp; Fees'!$B89)</f>
        <v>0</v>
      </c>
      <c r="R89" s="115">
        <f>SUMIFS('Invoices - Preopening'!$I$20:$I$299,'Invoices - Preopening'!$H$20:$H$299,"&gt;="&amp;R$6,'Invoices - Preopening'!$H$20:$H$299,"&lt;="&amp;R$7,'Invoices - Preopening'!$C$20:$C$299,'Model - Preopening &amp; Fees'!$B89)</f>
        <v>0</v>
      </c>
      <c r="S89" s="115">
        <f>SUMIFS('Invoices - Preopening'!$I$20:$I$299,'Invoices - Preopening'!$H$20:$H$299,"&gt;="&amp;S$6,'Invoices - Preopening'!$H$20:$H$299,"&lt;="&amp;S$7,'Invoices - Preopening'!$C$20:$C$299,'Model - Preopening &amp; Fees'!$B89)</f>
        <v>0</v>
      </c>
      <c r="T89" s="115">
        <f>SUMIFS('Invoices - Preopening'!$I$20:$I$299,'Invoices - Preopening'!$H$20:$H$299,"&gt;="&amp;T$6,'Invoices - Preopening'!$H$20:$H$299,"&lt;="&amp;T$7,'Invoices - Preopening'!$C$20:$C$299,'Model - Preopening &amp; Fees'!$B89)</f>
        <v>0</v>
      </c>
      <c r="U89" s="115">
        <f>SUMIFS('Invoices - Preopening'!$I$20:$I$299,'Invoices - Preopening'!$H$20:$H$299,"&gt;="&amp;U$6,'Invoices - Preopening'!$H$20:$H$299,"&lt;="&amp;U$7,'Invoices - Preopening'!$C$20:$C$299,'Model - Preopening &amp; Fees'!$B89)</f>
        <v>0</v>
      </c>
      <c r="V89" s="115">
        <f>SUMIFS('Invoices - Preopening'!$I$20:$I$299,'Invoices - Preopening'!$H$20:$H$299,"&gt;="&amp;V$6,'Invoices - Preopening'!$H$20:$H$299,"&lt;="&amp;V$7,'Invoices - Preopening'!$C$20:$C$299,'Model - Preopening &amp; Fees'!$B89)</f>
        <v>0</v>
      </c>
      <c r="W89" s="115">
        <f>SUMIFS('Invoices - Preopening'!$I$20:$I$299,'Invoices - Preopening'!$H$20:$H$299,"&gt;="&amp;W$6,'Invoices - Preopening'!$H$20:$H$299,"&lt;="&amp;W$7,'Invoices - Preopening'!$C$20:$C$299,'Model - Preopening &amp; Fees'!$B89)</f>
        <v>0</v>
      </c>
      <c r="X89" s="115">
        <f>SUMIFS('Invoices - Preopening'!$I$20:$I$299,'Invoices - Preopening'!$H$20:$H$299,"&gt;="&amp;X$6,'Invoices - Preopening'!$H$20:$H$299,"&lt;="&amp;X$7,'Invoices - Preopening'!$C$20:$C$299,'Model - Preopening &amp; Fees'!$B89)</f>
        <v>0</v>
      </c>
      <c r="Y89" s="115">
        <f>SUMIFS('Invoices - Preopening'!$I$20:$I$299,'Invoices - Preopening'!$H$20:$H$299,"&gt;="&amp;Y$6,'Invoices - Preopening'!$H$20:$H$299,"&lt;="&amp;Y$7,'Invoices - Preopening'!$C$20:$C$299,'Model - Preopening &amp; Fees'!$B89)</f>
        <v>0</v>
      </c>
      <c r="Z89" s="115">
        <f>SUMIFS('Invoices - Preopening'!$I$20:$I$299,'Invoices - Preopening'!$H$20:$H$299,"&gt;="&amp;Z$6,'Invoices - Preopening'!$H$20:$H$299,"&lt;="&amp;Z$7,'Invoices - Preopening'!$C$20:$C$299,'Model - Preopening &amp; Fees'!$B89)</f>
        <v>0</v>
      </c>
      <c r="AA89" s="115">
        <f>SUMIFS('Invoices - Preopening'!$I$20:$I$299,'Invoices - Preopening'!$H$20:$H$299,"&gt;="&amp;AA$6,'Invoices - Preopening'!$H$20:$H$299,"&lt;="&amp;AA$7,'Invoices - Preopening'!$C$20:$C$299,'Model - Preopening &amp; Fees'!$B89)</f>
        <v>0</v>
      </c>
      <c r="AB89" s="115">
        <f>SUMIFS('Invoices - Preopening'!$I$20:$I$299,'Invoices - Preopening'!$H$20:$H$299,"&gt;="&amp;AB$6,'Invoices - Preopening'!$H$20:$H$299,"&lt;="&amp;AB$7,'Invoices - Preopening'!$C$20:$C$299,'Model - Preopening &amp; Fees'!$B89)</f>
        <v>0</v>
      </c>
      <c r="AC89" s="115">
        <f>SUMIFS('Invoices - Preopening'!$I$20:$I$299,'Invoices - Preopening'!$H$20:$H$299,"&gt;="&amp;AC$6,'Invoices - Preopening'!$H$20:$H$299,"&lt;="&amp;AC$7,'Invoices - Preopening'!$C$20:$C$299,'Model - Preopening &amp; Fees'!$B89)</f>
        <v>2000</v>
      </c>
      <c r="AD89" s="9">
        <v>2000</v>
      </c>
      <c r="AE89" s="9">
        <v>2000</v>
      </c>
      <c r="AF89" s="9">
        <v>2000</v>
      </c>
      <c r="AG89" s="9">
        <v>2000</v>
      </c>
      <c r="AH89" s="9">
        <v>2000</v>
      </c>
      <c r="AI89" s="9">
        <v>2000</v>
      </c>
      <c r="AJ89" s="9">
        <v>2000</v>
      </c>
      <c r="AK89" s="9">
        <v>2000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T89" s="24">
        <f t="shared" si="75"/>
        <v>0</v>
      </c>
      <c r="AU89" s="24">
        <f t="shared" si="75"/>
        <v>0</v>
      </c>
      <c r="AV89" s="24">
        <f t="shared" si="75"/>
        <v>0</v>
      </c>
      <c r="AW89" s="24">
        <f t="shared" si="75"/>
        <v>0</v>
      </c>
      <c r="AX89" s="24">
        <f t="shared" si="75"/>
        <v>0</v>
      </c>
      <c r="AY89" s="1">
        <f t="shared" si="75"/>
        <v>-2000</v>
      </c>
      <c r="AZ89" s="1">
        <f t="shared" si="75"/>
        <v>-6000</v>
      </c>
      <c r="BA89" s="1">
        <f t="shared" si="75"/>
        <v>-6000</v>
      </c>
      <c r="BB89" s="1">
        <f t="shared" si="75"/>
        <v>-4000</v>
      </c>
      <c r="BC89" s="1">
        <f t="shared" si="75"/>
        <v>0</v>
      </c>
      <c r="BD89" s="1">
        <f t="shared" si="75"/>
        <v>0</v>
      </c>
      <c r="BF89" s="1">
        <f t="shared" ref="BF89" si="78">SUM(AT89:BD89)</f>
        <v>-18000</v>
      </c>
    </row>
    <row r="90" spans="1:58" x14ac:dyDescent="0.25">
      <c r="B90" s="21"/>
      <c r="C90" s="21"/>
      <c r="D90" s="2"/>
      <c r="E90" s="2"/>
      <c r="F90" s="9"/>
      <c r="G90" s="59"/>
      <c r="H90" s="59"/>
      <c r="J90" s="1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T90" s="24"/>
      <c r="AU90" s="24"/>
      <c r="AV90" s="24"/>
      <c r="AW90" s="24"/>
      <c r="AX90" s="24"/>
      <c r="AY90" s="1"/>
      <c r="AZ90" s="1"/>
      <c r="BA90" s="1"/>
      <c r="BB90" s="1"/>
      <c r="BC90" s="1"/>
      <c r="BD90" s="1"/>
      <c r="BF90" s="1"/>
    </row>
    <row r="91" spans="1:58" x14ac:dyDescent="0.25">
      <c r="B91" s="141" t="s">
        <v>158</v>
      </c>
      <c r="C91" s="141"/>
      <c r="D91" s="142"/>
      <c r="E91" s="142"/>
      <c r="F91" s="61"/>
      <c r="G91" s="141"/>
      <c r="H91" s="141"/>
      <c r="J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41"/>
      <c r="AE91" s="141"/>
      <c r="AF91" s="141"/>
      <c r="AG91" s="141"/>
      <c r="AH91" s="141"/>
      <c r="AI91" s="141"/>
      <c r="AJ91" s="141"/>
      <c r="AK91" s="141"/>
      <c r="AL91" s="141"/>
      <c r="AM91" s="141"/>
      <c r="AN91" s="141"/>
      <c r="AO91" s="141"/>
      <c r="AP91" s="141"/>
      <c r="AQ91" s="141"/>
      <c r="AR91" s="141"/>
      <c r="AT91" s="141"/>
      <c r="AU91" s="141"/>
      <c r="AV91" s="141"/>
      <c r="AW91" s="141"/>
      <c r="AX91" s="141"/>
      <c r="AY91" s="141"/>
      <c r="AZ91" s="141"/>
      <c r="BA91" s="141"/>
      <c r="BB91" s="141"/>
      <c r="BC91" s="141"/>
      <c r="BD91" s="141"/>
      <c r="BF91" s="141"/>
    </row>
    <row r="92" spans="1:58" x14ac:dyDescent="0.25">
      <c r="A92">
        <v>1</v>
      </c>
      <c r="B92" s="21" t="s">
        <v>265</v>
      </c>
      <c r="C92" s="21"/>
      <c r="D92" s="2" t="s">
        <v>146</v>
      </c>
      <c r="E92" s="2" t="s">
        <v>149</v>
      </c>
      <c r="F92" s="9">
        <v>198984</v>
      </c>
      <c r="G92" s="59">
        <f t="shared" ref="G92" si="79">SUMIFS($L92:$AR92,$L$7:$AR$7,"&lt;="&amp;$J$4)</f>
        <v>57893</v>
      </c>
      <c r="H92" s="59">
        <f t="shared" ref="H92:H94" si="80">J92-G92</f>
        <v>141091</v>
      </c>
      <c r="J92" s="1">
        <f t="shared" ref="J92:J93" si="81">SUM(L92:AR92)</f>
        <v>198984</v>
      </c>
      <c r="L92" s="115">
        <f>SUMIFS('Invoices - Preopening'!$I$20:$I$299,'Invoices - Preopening'!$H$20:$H$299,"&gt;="&amp;L$6,'Invoices - Preopening'!$H$20:$H$299,"&lt;="&amp;L$7,'Invoices - Preopening'!$C$20:$C$299,'Model - Preopening &amp; Fees'!$B92)</f>
        <v>0</v>
      </c>
      <c r="M92" s="115">
        <f>SUMIFS('Invoices - Preopening'!$I$20:$I$299,'Invoices - Preopening'!$H$20:$H$299,"&gt;="&amp;M$6,'Invoices - Preopening'!$H$20:$H$299,"&lt;="&amp;M$7,'Invoices - Preopening'!$C$20:$C$299,'Model - Preopening &amp; Fees'!$B92)</f>
        <v>0</v>
      </c>
      <c r="N92" s="115">
        <f>SUMIFS('Invoices - Preopening'!$I$20:$I$299,'Invoices - Preopening'!$H$20:$H$299,"&gt;="&amp;N$6,'Invoices - Preopening'!$H$20:$H$299,"&lt;="&amp;N$7,'Invoices - Preopening'!$C$20:$C$299,'Model - Preopening &amp; Fees'!$B92)</f>
        <v>0</v>
      </c>
      <c r="O92" s="115">
        <f>SUMIFS('Invoices - Preopening'!$I$20:$I$299,'Invoices - Preopening'!$H$20:$H$299,"&gt;="&amp;O$6,'Invoices - Preopening'!$H$20:$H$299,"&lt;="&amp;O$7,'Invoices - Preopening'!$C$20:$C$299,'Model - Preopening &amp; Fees'!$B92)</f>
        <v>0</v>
      </c>
      <c r="P92" s="115">
        <f>SUMIFS('Invoices - Preopening'!$I$20:$I$299,'Invoices - Preopening'!$H$20:$H$299,"&gt;="&amp;P$6,'Invoices - Preopening'!$H$20:$H$299,"&lt;="&amp;P$7,'Invoices - Preopening'!$C$20:$C$299,'Model - Preopening &amp; Fees'!$B92)</f>
        <v>0</v>
      </c>
      <c r="Q92" s="115">
        <f>SUMIFS('Invoices - Preopening'!$I$20:$I$299,'Invoices - Preopening'!$H$20:$H$299,"&gt;="&amp;Q$6,'Invoices - Preopening'!$H$20:$H$299,"&lt;="&amp;Q$7,'Invoices - Preopening'!$C$20:$C$299,'Model - Preopening &amp; Fees'!$B92)</f>
        <v>0</v>
      </c>
      <c r="R92" s="115">
        <f>SUMIFS('Invoices - Preopening'!$I$20:$I$299,'Invoices - Preopening'!$H$20:$H$299,"&gt;="&amp;R$6,'Invoices - Preopening'!$H$20:$H$299,"&lt;="&amp;R$7,'Invoices - Preopening'!$C$20:$C$299,'Model - Preopening &amp; Fees'!$B92)</f>
        <v>0</v>
      </c>
      <c r="S92" s="115">
        <f>SUMIFS('Invoices - Preopening'!$I$20:$I$299,'Invoices - Preopening'!$H$20:$H$299,"&gt;="&amp;S$6,'Invoices - Preopening'!$H$20:$H$299,"&lt;="&amp;S$7,'Invoices - Preopening'!$C$20:$C$299,'Model - Preopening &amp; Fees'!$B92)</f>
        <v>0</v>
      </c>
      <c r="T92" s="115">
        <f>SUMIFS('Invoices - Preopening'!$I$20:$I$299,'Invoices - Preopening'!$H$20:$H$299,"&gt;="&amp;T$6,'Invoices - Preopening'!$H$20:$H$299,"&lt;="&amp;T$7,'Invoices - Preopening'!$C$20:$C$299,'Model - Preopening &amp; Fees'!$B92)</f>
        <v>0</v>
      </c>
      <c r="U92" s="115">
        <f>SUMIFS('Invoices - Preopening'!$I$20:$I$299,'Invoices - Preopening'!$H$20:$H$299,"&gt;="&amp;U$6,'Invoices - Preopening'!$H$20:$H$299,"&lt;="&amp;U$7,'Invoices - Preopening'!$C$20:$C$299,'Model - Preopening &amp; Fees'!$B92)</f>
        <v>0</v>
      </c>
      <c r="V92" s="115">
        <f>SUMIFS('Invoices - Preopening'!$I$20:$I$299,'Invoices - Preopening'!$H$20:$H$299,"&gt;="&amp;V$6,'Invoices - Preopening'!$H$20:$H$299,"&lt;="&amp;V$7,'Invoices - Preopening'!$C$20:$C$299,'Model - Preopening &amp; Fees'!$B92)</f>
        <v>0</v>
      </c>
      <c r="W92" s="115">
        <f>SUMIFS('Invoices - Preopening'!$I$20:$I$299,'Invoices - Preopening'!$H$20:$H$299,"&gt;="&amp;W$6,'Invoices - Preopening'!$H$20:$H$299,"&lt;="&amp;W$7,'Invoices - Preopening'!$C$20:$C$299,'Model - Preopening &amp; Fees'!$B92)</f>
        <v>0</v>
      </c>
      <c r="X92" s="115">
        <f>SUMIFS('Invoices - Preopening'!$I$20:$I$299,'Invoices - Preopening'!$H$20:$H$299,"&gt;="&amp;X$6,'Invoices - Preopening'!$H$20:$H$299,"&lt;="&amp;X$7,'Invoices - Preopening'!$C$20:$C$299,'Model - Preopening &amp; Fees'!$B92)</f>
        <v>0</v>
      </c>
      <c r="Y92" s="115">
        <f>SUMIFS('Invoices - Preopening'!$I$20:$I$299,'Invoices - Preopening'!$H$20:$H$299,"&gt;="&amp;Y$6,'Invoices - Preopening'!$H$20:$H$299,"&lt;="&amp;Y$7,'Invoices - Preopening'!$C$20:$C$299,'Model - Preopening &amp; Fees'!$B92)</f>
        <v>0</v>
      </c>
      <c r="Z92" s="115">
        <f>SUMIFS('Invoices - Preopening'!$I$20:$I$299,'Invoices - Preopening'!$H$20:$H$299,"&gt;="&amp;Z$6,'Invoices - Preopening'!$H$20:$H$299,"&lt;="&amp;Z$7,'Invoices - Preopening'!$C$20:$C$299,'Model - Preopening &amp; Fees'!$B92)</f>
        <v>57893</v>
      </c>
      <c r="AA92" s="115">
        <f>SUMIFS('Invoices - Preopening'!$I$20:$I$299,'Invoices - Preopening'!$H$20:$H$299,"&gt;="&amp;AA$6,'Invoices - Preopening'!$H$20:$H$299,"&lt;="&amp;AA$7,'Invoices - Preopening'!$C$20:$C$299,'Model - Preopening &amp; Fees'!$B92)</f>
        <v>0</v>
      </c>
      <c r="AB92" s="115">
        <f>SUMIFS('Invoices - Preopening'!$I$20:$I$299,'Invoices - Preopening'!$H$20:$H$299,"&gt;="&amp;AB$6,'Invoices - Preopening'!$H$20:$H$299,"&lt;="&amp;AB$7,'Invoices - Preopening'!$C$20:$C$299,'Model - Preopening &amp; Fees'!$B92)</f>
        <v>0</v>
      </c>
      <c r="AC92" s="115">
        <f>SUMIFS('Invoices - Preopening'!$I$20:$I$299,'Invoices - Preopening'!$H$20:$H$299,"&gt;="&amp;AC$6,'Invoices - Preopening'!$H$20:$H$299,"&lt;="&amp;AC$7,'Invoices - Preopening'!$C$20:$C$299,'Model - Preopening &amp; Fees'!$B92)</f>
        <v>0</v>
      </c>
      <c r="AD92" s="9">
        <v>141091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T92" s="24">
        <f t="shared" ref="AT92:BD93" si="82">-SUMIFS($L92:$AR92,$L$5:$AR$5,AT$5)</f>
        <v>0</v>
      </c>
      <c r="AU92" s="24">
        <f t="shared" si="82"/>
        <v>0</v>
      </c>
      <c r="AV92" s="24">
        <f t="shared" si="82"/>
        <v>0</v>
      </c>
      <c r="AW92" s="24">
        <f t="shared" si="82"/>
        <v>0</v>
      </c>
      <c r="AX92" s="24">
        <f t="shared" si="82"/>
        <v>-57893</v>
      </c>
      <c r="AY92" s="1">
        <f t="shared" si="82"/>
        <v>0</v>
      </c>
      <c r="AZ92" s="1">
        <f t="shared" si="82"/>
        <v>-141091</v>
      </c>
      <c r="BA92" s="1">
        <f t="shared" si="82"/>
        <v>0</v>
      </c>
      <c r="BB92" s="1">
        <f t="shared" si="82"/>
        <v>0</v>
      </c>
      <c r="BC92" s="1">
        <f t="shared" si="82"/>
        <v>0</v>
      </c>
      <c r="BD92" s="1">
        <f t="shared" si="82"/>
        <v>0</v>
      </c>
      <c r="BF92" s="1">
        <f t="shared" ref="BF92:BF93" si="83">SUM(AT92:BD92)</f>
        <v>-198984</v>
      </c>
    </row>
    <row r="93" spans="1:58" x14ac:dyDescent="0.25">
      <c r="A93">
        <v>1</v>
      </c>
      <c r="B93" s="21" t="s">
        <v>266</v>
      </c>
      <c r="C93" s="21"/>
      <c r="D93" s="2" t="s">
        <v>146</v>
      </c>
      <c r="E93" s="2" t="s">
        <v>149</v>
      </c>
      <c r="F93" s="9">
        <v>166966</v>
      </c>
      <c r="G93" s="59">
        <f>SUMIFS($L93:$AR93,$L$7:$AR$7,"&lt;="&amp;$J$4)</f>
        <v>166966</v>
      </c>
      <c r="H93" s="59">
        <f t="shared" si="80"/>
        <v>41812.350000000006</v>
      </c>
      <c r="J93" s="1">
        <f t="shared" si="81"/>
        <v>208778.35</v>
      </c>
      <c r="L93" s="115">
        <f>SUMIFS('Invoices - Preopening'!$I$20:$I$299,'Invoices - Preopening'!$H$20:$H$299,"&gt;="&amp;L$6,'Invoices - Preopening'!$H$20:$H$299,"&lt;="&amp;L$7,'Invoices - Preopening'!$C$20:$C$299,'Model - Preopening &amp; Fees'!$B93)</f>
        <v>0</v>
      </c>
      <c r="M93" s="115">
        <f>SUMIFS('Invoices - Preopening'!$I$20:$I$299,'Invoices - Preopening'!$H$20:$H$299,"&gt;="&amp;M$6,'Invoices - Preopening'!$H$20:$H$299,"&lt;="&amp;M$7,'Invoices - Preopening'!$C$20:$C$299,'Model - Preopening &amp; Fees'!$B93)</f>
        <v>0</v>
      </c>
      <c r="N93" s="115">
        <f>SUMIFS('Invoices - Preopening'!$I$20:$I$299,'Invoices - Preopening'!$H$20:$H$299,"&gt;="&amp;N$6,'Invoices - Preopening'!$H$20:$H$299,"&lt;="&amp;N$7,'Invoices - Preopening'!$C$20:$C$299,'Model - Preopening &amp; Fees'!$B93)</f>
        <v>0</v>
      </c>
      <c r="O93" s="115">
        <f>SUMIFS('Invoices - Preopening'!$I$20:$I$299,'Invoices - Preopening'!$H$20:$H$299,"&gt;="&amp;O$6,'Invoices - Preopening'!$H$20:$H$299,"&lt;="&amp;O$7,'Invoices - Preopening'!$C$20:$C$299,'Model - Preopening &amp; Fees'!$B93)</f>
        <v>0</v>
      </c>
      <c r="P93" s="115">
        <f>SUMIFS('Invoices - Preopening'!$I$20:$I$299,'Invoices - Preopening'!$H$20:$H$299,"&gt;="&amp;P$6,'Invoices - Preopening'!$H$20:$H$299,"&lt;="&amp;P$7,'Invoices - Preopening'!$C$20:$C$299,'Model - Preopening &amp; Fees'!$B93)</f>
        <v>0</v>
      </c>
      <c r="Q93" s="115">
        <f>SUMIFS('Invoices - Preopening'!$I$20:$I$299,'Invoices - Preopening'!$H$20:$H$299,"&gt;="&amp;Q$6,'Invoices - Preopening'!$H$20:$H$299,"&lt;="&amp;Q$7,'Invoices - Preopening'!$C$20:$C$299,'Model - Preopening &amp; Fees'!$B93)</f>
        <v>0</v>
      </c>
      <c r="R93" s="115">
        <f>SUMIFS('Invoices - Preopening'!$I$20:$I$299,'Invoices - Preopening'!$H$20:$H$299,"&gt;="&amp;R$6,'Invoices - Preopening'!$H$20:$H$299,"&lt;="&amp;R$7,'Invoices - Preopening'!$C$20:$C$299,'Model - Preopening &amp; Fees'!$B93)</f>
        <v>0</v>
      </c>
      <c r="S93" s="115">
        <f>SUMIFS('Invoices - Preopening'!$I$20:$I$299,'Invoices - Preopening'!$H$20:$H$299,"&gt;="&amp;S$6,'Invoices - Preopening'!$H$20:$H$299,"&lt;="&amp;S$7,'Invoices - Preopening'!$C$20:$C$299,'Model - Preopening &amp; Fees'!$B93)</f>
        <v>0</v>
      </c>
      <c r="T93" s="115">
        <f>SUMIFS('Invoices - Preopening'!$I$20:$I$299,'Invoices - Preopening'!$H$20:$H$299,"&gt;="&amp;T$6,'Invoices - Preopening'!$H$20:$H$299,"&lt;="&amp;T$7,'Invoices - Preopening'!$C$20:$C$299,'Model - Preopening &amp; Fees'!$B93)</f>
        <v>0</v>
      </c>
      <c r="U93" s="115">
        <f>SUMIFS('Invoices - Preopening'!$I$20:$I$299,'Invoices - Preopening'!$H$20:$H$299,"&gt;="&amp;U$6,'Invoices - Preopening'!$H$20:$H$299,"&lt;="&amp;U$7,'Invoices - Preopening'!$C$20:$C$299,'Model - Preopening &amp; Fees'!$B93)</f>
        <v>0</v>
      </c>
      <c r="V93" s="115">
        <f>SUMIFS('Invoices - Preopening'!$I$20:$I$299,'Invoices - Preopening'!$H$20:$H$299,"&gt;="&amp;V$6,'Invoices - Preopening'!$H$20:$H$299,"&lt;="&amp;V$7,'Invoices - Preopening'!$C$20:$C$299,'Model - Preopening &amp; Fees'!$B93)</f>
        <v>0</v>
      </c>
      <c r="W93" s="115">
        <f>SUMIFS('Invoices - Preopening'!$I$20:$I$299,'Invoices - Preopening'!$H$20:$H$299,"&gt;="&amp;W$6,'Invoices - Preopening'!$H$20:$H$299,"&lt;="&amp;W$7,'Invoices - Preopening'!$C$20:$C$299,'Model - Preopening &amp; Fees'!$B93)</f>
        <v>0</v>
      </c>
      <c r="X93" s="115">
        <f>SUMIFS('Invoices - Preopening'!$I$20:$I$299,'Invoices - Preopening'!$H$20:$H$299,"&gt;="&amp;X$6,'Invoices - Preopening'!$H$20:$H$299,"&lt;="&amp;X$7,'Invoices - Preopening'!$C$20:$C$299,'Model - Preopening &amp; Fees'!$B93)</f>
        <v>0</v>
      </c>
      <c r="Y93" s="115">
        <f>SUMIFS('Invoices - Preopening'!$I$20:$I$299,'Invoices - Preopening'!$H$20:$H$299,"&gt;="&amp;Y$6,'Invoices - Preopening'!$H$20:$H$299,"&lt;="&amp;Y$7,'Invoices - Preopening'!$C$20:$C$299,'Model - Preopening &amp; Fees'!$B93)</f>
        <v>0</v>
      </c>
      <c r="Z93" s="115">
        <f>SUMIFS('Invoices - Preopening'!$I$20:$I$299,'Invoices - Preopening'!$H$20:$H$299,"&gt;="&amp;Z$6,'Invoices - Preopening'!$H$20:$H$299,"&lt;="&amp;Z$7,'Invoices - Preopening'!$C$20:$C$299,'Model - Preopening &amp; Fees'!$B93)</f>
        <v>166966</v>
      </c>
      <c r="AA93" s="115">
        <f>SUMIFS('Invoices - Preopening'!$I$20:$I$299,'Invoices - Preopening'!$H$20:$H$299,"&gt;="&amp;AA$6,'Invoices - Preopening'!$H$20:$H$299,"&lt;="&amp;AA$7,'Invoices - Preopening'!$C$20:$C$299,'Model - Preopening &amp; Fees'!$B93)</f>
        <v>0</v>
      </c>
      <c r="AB93" s="115">
        <f>SUMIFS('Invoices - Preopening'!$I$20:$I$299,'Invoices - Preopening'!$H$20:$H$299,"&gt;="&amp;AB$6,'Invoices - Preopening'!$H$20:$H$299,"&lt;="&amp;AB$7,'Invoices - Preopening'!$C$20:$C$299,'Model - Preopening &amp; Fees'!$B93)</f>
        <v>0</v>
      </c>
      <c r="AC93" s="115">
        <f>SUMIFS('Invoices - Preopening'!$I$20:$I$299,'Invoices - Preopening'!$H$20:$H$299,"&gt;="&amp;AC$6,'Invoices - Preopening'!$H$20:$H$299,"&lt;="&amp;AC$7,'Invoices - Preopening'!$C$20:$C$299,'Model - Preopening &amp; Fees'!$B93)</f>
        <v>0</v>
      </c>
      <c r="AD93" s="9">
        <f>38776+'Invoices - Preopening'!I51</f>
        <v>41812.35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T93" s="24">
        <f t="shared" si="82"/>
        <v>0</v>
      </c>
      <c r="AU93" s="24">
        <f t="shared" si="82"/>
        <v>0</v>
      </c>
      <c r="AV93" s="24">
        <f t="shared" si="82"/>
        <v>0</v>
      </c>
      <c r="AW93" s="24">
        <f t="shared" si="82"/>
        <v>0</v>
      </c>
      <c r="AX93" s="24">
        <f t="shared" si="82"/>
        <v>-166966</v>
      </c>
      <c r="AY93" s="1">
        <f t="shared" si="82"/>
        <v>0</v>
      </c>
      <c r="AZ93" s="1">
        <f t="shared" si="82"/>
        <v>-41812.35</v>
      </c>
      <c r="BA93" s="1">
        <f t="shared" si="82"/>
        <v>0</v>
      </c>
      <c r="BB93" s="1">
        <f t="shared" si="82"/>
        <v>0</v>
      </c>
      <c r="BC93" s="1">
        <f t="shared" si="82"/>
        <v>0</v>
      </c>
      <c r="BD93" s="1">
        <f t="shared" si="82"/>
        <v>0</v>
      </c>
      <c r="BF93" s="1">
        <f t="shared" si="83"/>
        <v>-208778.35</v>
      </c>
    </row>
    <row r="94" spans="1:58" x14ac:dyDescent="0.25">
      <c r="A94">
        <v>1</v>
      </c>
      <c r="B94" s="22" t="s">
        <v>267</v>
      </c>
      <c r="C94" s="22"/>
      <c r="D94" s="54" t="s">
        <v>146</v>
      </c>
      <c r="E94" s="54" t="s">
        <v>149</v>
      </c>
      <c r="F94" s="55">
        <v>25000</v>
      </c>
      <c r="G94" s="60">
        <f>SUMIFS($L94:$AR94,$L$7:$AR$7,"&lt;="&amp;$J$4)</f>
        <v>12000</v>
      </c>
      <c r="H94" s="60">
        <f t="shared" si="80"/>
        <v>8000</v>
      </c>
      <c r="J94" s="18">
        <f>SUM(L94:AR94)</f>
        <v>20000</v>
      </c>
      <c r="L94" s="116">
        <f>SUMIFS('Invoices - Preopening'!$I$20:$I$299,'Invoices - Preopening'!$H$20:$H$299,"&gt;="&amp;L$6,'Invoices - Preopening'!$H$20:$H$299,"&lt;="&amp;L$7,'Invoices - Preopening'!$C$20:$C$299,'Model - Preopening &amp; Fees'!$B94)</f>
        <v>0</v>
      </c>
      <c r="M94" s="116">
        <f>SUMIFS('Invoices - Preopening'!$I$20:$I$299,'Invoices - Preopening'!$H$20:$H$299,"&gt;="&amp;M$6,'Invoices - Preopening'!$H$20:$H$299,"&lt;="&amp;M$7,'Invoices - Preopening'!$C$20:$C$299,'Model - Preopening &amp; Fees'!$B94)</f>
        <v>0</v>
      </c>
      <c r="N94" s="116">
        <f>SUMIFS('Invoices - Preopening'!$I$20:$I$299,'Invoices - Preopening'!$H$20:$H$299,"&gt;="&amp;N$6,'Invoices - Preopening'!$H$20:$H$299,"&lt;="&amp;N$7,'Invoices - Preopening'!$C$20:$C$299,'Model - Preopening &amp; Fees'!$B94)</f>
        <v>0</v>
      </c>
      <c r="O94" s="116">
        <f>SUMIFS('Invoices - Preopening'!$I$20:$I$299,'Invoices - Preopening'!$H$20:$H$299,"&gt;="&amp;O$6,'Invoices - Preopening'!$H$20:$H$299,"&lt;="&amp;O$7,'Invoices - Preopening'!$C$20:$C$299,'Model - Preopening &amp; Fees'!$B94)</f>
        <v>0</v>
      </c>
      <c r="P94" s="116">
        <f>SUMIFS('Invoices - Preopening'!$I$20:$I$299,'Invoices - Preopening'!$H$20:$H$299,"&gt;="&amp;P$6,'Invoices - Preopening'!$H$20:$H$299,"&lt;="&amp;P$7,'Invoices - Preopening'!$C$20:$C$299,'Model - Preopening &amp; Fees'!$B94)</f>
        <v>0</v>
      </c>
      <c r="Q94" s="116">
        <f>SUMIFS('Invoices - Preopening'!$I$20:$I$299,'Invoices - Preopening'!$H$20:$H$299,"&gt;="&amp;Q$6,'Invoices - Preopening'!$H$20:$H$299,"&lt;="&amp;Q$7,'Invoices - Preopening'!$C$20:$C$299,'Model - Preopening &amp; Fees'!$B94)</f>
        <v>0</v>
      </c>
      <c r="R94" s="116">
        <f>SUMIFS('Invoices - Preopening'!$I$20:$I$299,'Invoices - Preopening'!$H$20:$H$299,"&gt;="&amp;R$6,'Invoices - Preopening'!$H$20:$H$299,"&lt;="&amp;R$7,'Invoices - Preopening'!$C$20:$C$299,'Model - Preopening &amp; Fees'!$B94)</f>
        <v>0</v>
      </c>
      <c r="S94" s="116">
        <f>SUMIFS('Invoices - Preopening'!$I$20:$I$299,'Invoices - Preopening'!$H$20:$H$299,"&gt;="&amp;S$6,'Invoices - Preopening'!$H$20:$H$299,"&lt;="&amp;S$7,'Invoices - Preopening'!$C$20:$C$299,'Model - Preopening &amp; Fees'!$B94)</f>
        <v>0</v>
      </c>
      <c r="T94" s="116">
        <f>SUMIFS('Invoices - Preopening'!$I$20:$I$299,'Invoices - Preopening'!$H$20:$H$299,"&gt;="&amp;T$6,'Invoices - Preopening'!$H$20:$H$299,"&lt;="&amp;T$7,'Invoices - Preopening'!$C$20:$C$299,'Model - Preopening &amp; Fees'!$B94)</f>
        <v>0</v>
      </c>
      <c r="U94" s="116">
        <f>SUMIFS('Invoices - Preopening'!$I$20:$I$299,'Invoices - Preopening'!$H$20:$H$299,"&gt;="&amp;U$6,'Invoices - Preopening'!$H$20:$H$299,"&lt;="&amp;U$7,'Invoices - Preopening'!$C$20:$C$299,'Model - Preopening &amp; Fees'!$B94)</f>
        <v>0</v>
      </c>
      <c r="V94" s="116">
        <f>SUMIFS('Invoices - Preopening'!$I$20:$I$299,'Invoices - Preopening'!$H$20:$H$299,"&gt;="&amp;V$6,'Invoices - Preopening'!$H$20:$H$299,"&lt;="&amp;V$7,'Invoices - Preopening'!$C$20:$C$299,'Model - Preopening &amp; Fees'!$B94)</f>
        <v>0</v>
      </c>
      <c r="W94" s="116">
        <f>SUMIFS('Invoices - Preopening'!$I$20:$I$299,'Invoices - Preopening'!$H$20:$H$299,"&gt;="&amp;W$6,'Invoices - Preopening'!$H$20:$H$299,"&lt;="&amp;W$7,'Invoices - Preopening'!$C$20:$C$299,'Model - Preopening &amp; Fees'!$B94)</f>
        <v>12000</v>
      </c>
      <c r="X94" s="116">
        <f>SUMIFS('Invoices - Preopening'!$I$20:$I$299,'Invoices - Preopening'!$H$20:$H$299,"&gt;="&amp;X$6,'Invoices - Preopening'!$H$20:$H$299,"&lt;="&amp;X$7,'Invoices - Preopening'!$C$20:$C$299,'Model - Preopening &amp; Fees'!$B94)</f>
        <v>0</v>
      </c>
      <c r="Y94" s="116">
        <f>SUMIFS('Invoices - Preopening'!$I$20:$I$299,'Invoices - Preopening'!$H$20:$H$299,"&gt;="&amp;Y$6,'Invoices - Preopening'!$H$20:$H$299,"&lt;="&amp;Y$7,'Invoices - Preopening'!$C$20:$C$299,'Model - Preopening &amp; Fees'!$B94)</f>
        <v>0</v>
      </c>
      <c r="Z94" s="116">
        <f>SUMIFS('Invoices - Preopening'!$I$20:$I$299,'Invoices - Preopening'!$H$20:$H$299,"&gt;="&amp;Z$6,'Invoices - Preopening'!$H$20:$H$299,"&lt;="&amp;Z$7,'Invoices - Preopening'!$C$20:$C$299,'Model - Preopening &amp; Fees'!$B94)</f>
        <v>0</v>
      </c>
      <c r="AA94" s="116">
        <f>SUMIFS('Invoices - Preopening'!$I$20:$I$299,'Invoices - Preopening'!$H$20:$H$299,"&gt;="&amp;AA$6,'Invoices - Preopening'!$H$20:$H$299,"&lt;="&amp;AA$7,'Invoices - Preopening'!$C$20:$C$299,'Model - Preopening &amp; Fees'!$B94)</f>
        <v>0</v>
      </c>
      <c r="AB94" s="116">
        <f>SUMIFS('Invoices - Preopening'!$I$20:$I$299,'Invoices - Preopening'!$H$20:$H$299,"&gt;="&amp;AB$6,'Invoices - Preopening'!$H$20:$H$299,"&lt;="&amp;AB$7,'Invoices - Preopening'!$C$20:$C$299,'Model - Preopening &amp; Fees'!$B94)</f>
        <v>0</v>
      </c>
      <c r="AC94" s="116">
        <f>SUMIFS('Invoices - Preopening'!$I$20:$I$299,'Invoices - Preopening'!$H$20:$H$299,"&gt;="&amp;AC$6,'Invoices - Preopening'!$H$20:$H$299,"&lt;="&amp;AC$7,'Invoices - Preopening'!$C$20:$C$299,'Model - Preopening &amp; Fees'!$B94)</f>
        <v>0</v>
      </c>
      <c r="AD94" s="55">
        <v>5000</v>
      </c>
      <c r="AE94" s="55">
        <v>3000</v>
      </c>
      <c r="AF94" s="55">
        <v>0</v>
      </c>
      <c r="AG94" s="55">
        <v>0</v>
      </c>
      <c r="AH94" s="55">
        <v>0</v>
      </c>
      <c r="AI94" s="55">
        <v>0</v>
      </c>
      <c r="AJ94" s="55">
        <v>0</v>
      </c>
      <c r="AK94" s="55">
        <v>0</v>
      </c>
      <c r="AL94" s="55">
        <v>0</v>
      </c>
      <c r="AM94" s="55">
        <v>0</v>
      </c>
      <c r="AN94" s="55">
        <v>0</v>
      </c>
      <c r="AO94" s="55">
        <v>0</v>
      </c>
      <c r="AP94" s="55">
        <v>0</v>
      </c>
      <c r="AQ94" s="55">
        <v>0</v>
      </c>
      <c r="AR94" s="55">
        <v>0</v>
      </c>
      <c r="AT94" s="24">
        <f t="shared" ref="AT94:BD94" si="84">-SUMIFS($L94:$AR94,$L$5:$AR$5,AT$5)</f>
        <v>0</v>
      </c>
      <c r="AU94" s="24">
        <f t="shared" si="84"/>
        <v>0</v>
      </c>
      <c r="AV94" s="24">
        <f t="shared" si="84"/>
        <v>0</v>
      </c>
      <c r="AW94" s="24">
        <f t="shared" si="84"/>
        <v>-12000</v>
      </c>
      <c r="AX94" s="24">
        <f t="shared" si="84"/>
        <v>0</v>
      </c>
      <c r="AY94" s="1">
        <f t="shared" si="84"/>
        <v>0</v>
      </c>
      <c r="AZ94" s="1">
        <f t="shared" si="84"/>
        <v>-8000</v>
      </c>
      <c r="BA94" s="1">
        <f t="shared" si="84"/>
        <v>0</v>
      </c>
      <c r="BB94" s="1">
        <f t="shared" si="84"/>
        <v>0</v>
      </c>
      <c r="BC94" s="1">
        <f t="shared" si="84"/>
        <v>0</v>
      </c>
      <c r="BD94" s="1">
        <f t="shared" si="84"/>
        <v>0</v>
      </c>
      <c r="BF94" s="1">
        <f>SUM(AT94:BD94)</f>
        <v>-20000</v>
      </c>
    </row>
    <row r="95" spans="1:58" s="20" customFormat="1" x14ac:dyDescent="0.25">
      <c r="B95" s="62" t="s">
        <v>159</v>
      </c>
      <c r="C95" s="62"/>
      <c r="D95" s="100"/>
      <c r="E95" s="100"/>
      <c r="F95" s="15">
        <f>SUM(F73:F76,F79:F82,F85:F94)</f>
        <v>626452</v>
      </c>
      <c r="G95" s="15">
        <f>SUM(G73:G75,G79:G82,G85:G94)</f>
        <v>252731.69</v>
      </c>
      <c r="H95" s="15">
        <f>SUM(H73:H76,H79:H82,H85:H94)</f>
        <v>401202.01666666672</v>
      </c>
      <c r="J95" s="15">
        <f>SUM(L95:AR95)</f>
        <v>653933.70666666678</v>
      </c>
      <c r="L95" s="15">
        <f>SUM(L73:L76,L79:L82,L85:L94)</f>
        <v>0</v>
      </c>
      <c r="M95" s="15">
        <f t="shared" ref="M95:AR95" si="85">SUM(M73:M76,M79:M82,M85:M94)</f>
        <v>0</v>
      </c>
      <c r="N95" s="15">
        <f t="shared" si="85"/>
        <v>0</v>
      </c>
      <c r="O95" s="15">
        <f t="shared" si="85"/>
        <v>0</v>
      </c>
      <c r="P95" s="15">
        <f t="shared" si="85"/>
        <v>0</v>
      </c>
      <c r="Q95" s="15">
        <f t="shared" si="85"/>
        <v>0</v>
      </c>
      <c r="R95" s="15">
        <f t="shared" si="85"/>
        <v>0</v>
      </c>
      <c r="S95" s="15">
        <f t="shared" si="85"/>
        <v>0</v>
      </c>
      <c r="T95" s="15">
        <f t="shared" si="85"/>
        <v>0</v>
      </c>
      <c r="U95" s="15">
        <f t="shared" si="85"/>
        <v>0</v>
      </c>
      <c r="V95" s="15">
        <f t="shared" si="85"/>
        <v>0</v>
      </c>
      <c r="W95" s="15">
        <f t="shared" si="85"/>
        <v>12000</v>
      </c>
      <c r="X95" s="15">
        <f t="shared" si="85"/>
        <v>0</v>
      </c>
      <c r="Y95" s="15">
        <f t="shared" si="85"/>
        <v>0</v>
      </c>
      <c r="Z95" s="15">
        <f t="shared" si="85"/>
        <v>225147.79</v>
      </c>
      <c r="AA95" s="15">
        <f t="shared" si="85"/>
        <v>4245.666666666667</v>
      </c>
      <c r="AB95" s="15">
        <f t="shared" si="85"/>
        <v>5035.4666666666672</v>
      </c>
      <c r="AC95" s="15">
        <f t="shared" si="85"/>
        <v>6302.7666666666673</v>
      </c>
      <c r="AD95" s="15">
        <f t="shared" si="85"/>
        <v>194149.01666666666</v>
      </c>
      <c r="AE95" s="15">
        <f t="shared" si="85"/>
        <v>10245.666666666668</v>
      </c>
      <c r="AF95" s="15">
        <f t="shared" si="85"/>
        <v>9445.6666666666679</v>
      </c>
      <c r="AG95" s="15">
        <f t="shared" si="85"/>
        <v>24862.333333333336</v>
      </c>
      <c r="AH95" s="15">
        <f t="shared" si="85"/>
        <v>34862.333333333336</v>
      </c>
      <c r="AI95" s="15">
        <f t="shared" si="85"/>
        <v>39112.333333333336</v>
      </c>
      <c r="AJ95" s="15">
        <f t="shared" si="85"/>
        <v>35912.333333333336</v>
      </c>
      <c r="AK95" s="15">
        <f t="shared" si="85"/>
        <v>52612.333333333336</v>
      </c>
      <c r="AL95" s="15">
        <f t="shared" si="85"/>
        <v>0</v>
      </c>
      <c r="AM95" s="15">
        <f t="shared" si="85"/>
        <v>0</v>
      </c>
      <c r="AN95" s="15">
        <f t="shared" si="85"/>
        <v>0</v>
      </c>
      <c r="AO95" s="15">
        <f t="shared" si="85"/>
        <v>0</v>
      </c>
      <c r="AP95" s="15">
        <f t="shared" si="85"/>
        <v>0</v>
      </c>
      <c r="AQ95" s="15">
        <f t="shared" si="85"/>
        <v>0</v>
      </c>
      <c r="AR95" s="15">
        <f t="shared" si="85"/>
        <v>0</v>
      </c>
      <c r="AT95" s="15">
        <f t="shared" ref="AT95:BD95" si="86">SUM(AT73:AT75,AT79:AT82,AT85:AT89)</f>
        <v>0</v>
      </c>
      <c r="AU95" s="15">
        <f t="shared" si="86"/>
        <v>0</v>
      </c>
      <c r="AV95" s="15">
        <f t="shared" si="86"/>
        <v>0</v>
      </c>
      <c r="AW95" s="15">
        <f t="shared" si="86"/>
        <v>0</v>
      </c>
      <c r="AX95" s="15">
        <f t="shared" si="86"/>
        <v>-288.78999999999996</v>
      </c>
      <c r="AY95" s="15">
        <f t="shared" si="86"/>
        <v>-15583.9</v>
      </c>
      <c r="AZ95" s="15">
        <f t="shared" si="86"/>
        <v>-22937</v>
      </c>
      <c r="BA95" s="15">
        <f t="shared" si="86"/>
        <v>-88837</v>
      </c>
      <c r="BB95" s="15">
        <f t="shared" si="86"/>
        <v>-88524.666666666672</v>
      </c>
      <c r="BC95" s="15">
        <f t="shared" si="86"/>
        <v>0</v>
      </c>
      <c r="BD95" s="15">
        <f t="shared" si="86"/>
        <v>0</v>
      </c>
      <c r="BF95" s="15">
        <f t="shared" si="57"/>
        <v>-216171.35666666669</v>
      </c>
    </row>
    <row r="97" spans="1:59" x14ac:dyDescent="0.25">
      <c r="B97" s="4" t="s">
        <v>258</v>
      </c>
      <c r="C97" s="4"/>
      <c r="D97" s="53"/>
      <c r="E97" s="53"/>
      <c r="F97" s="53"/>
      <c r="G97" s="53"/>
      <c r="H97" s="53"/>
      <c r="J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  <c r="AL97" s="140"/>
      <c r="AM97" s="140"/>
      <c r="AN97" s="140"/>
      <c r="AO97" s="140"/>
      <c r="AP97" s="140"/>
      <c r="AQ97" s="140"/>
      <c r="AR97" s="140"/>
      <c r="AT97" s="140"/>
      <c r="AU97" s="140"/>
      <c r="AV97" s="140"/>
      <c r="AW97" s="140"/>
      <c r="AX97" s="140"/>
      <c r="AY97" s="140"/>
      <c r="AZ97" s="140"/>
      <c r="BA97" s="140"/>
      <c r="BB97" s="140"/>
      <c r="BC97" s="140"/>
      <c r="BD97" s="140"/>
      <c r="BF97" s="140"/>
    </row>
    <row r="99" spans="1:59" x14ac:dyDescent="0.25">
      <c r="A99" s="20"/>
      <c r="B99" s="57" t="s">
        <v>120</v>
      </c>
      <c r="C99" s="57"/>
      <c r="D99" s="58" t="s">
        <v>121</v>
      </c>
      <c r="E99" s="58"/>
      <c r="F99" s="58" t="s">
        <v>120</v>
      </c>
      <c r="G99" s="58" t="s">
        <v>123</v>
      </c>
      <c r="H99" s="58" t="s">
        <v>124</v>
      </c>
      <c r="I99" s="20"/>
      <c r="J99" s="58"/>
      <c r="K99" s="20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20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20"/>
      <c r="BF99" s="58"/>
      <c r="BG99" s="20"/>
    </row>
    <row r="100" spans="1:59" x14ac:dyDescent="0.25">
      <c r="A100">
        <v>1</v>
      </c>
      <c r="B100" s="144" t="s">
        <v>268</v>
      </c>
      <c r="C100" s="21"/>
      <c r="D100" s="2" t="s">
        <v>160</v>
      </c>
      <c r="E100" s="2" t="s">
        <v>161</v>
      </c>
      <c r="F100" s="9">
        <v>4000</v>
      </c>
      <c r="G100" s="59">
        <f>SUMIFS($L100:$AR100,$L$7:$AR$7,"&lt;="&amp;$J$4)</f>
        <v>0</v>
      </c>
      <c r="H100" s="59">
        <f t="shared" ref="H100:H109" si="87">J100-G100</f>
        <v>4000</v>
      </c>
      <c r="J100" s="1">
        <f t="shared" ref="J100:J110" si="88">SUM(L100:AR100)</f>
        <v>4000</v>
      </c>
      <c r="L100" s="115">
        <f>SUMIFS('Invoices - Preopening'!$I$20:$I$299,'Invoices - Preopening'!$H$20:$H$299,"&gt;="&amp;L$6,'Invoices - Preopening'!$H$20:$H$299,"&lt;="&amp;L$7,'Invoices - Preopening'!$C$20:$C$299,'Model - Preopening &amp; Fees'!$B100)</f>
        <v>0</v>
      </c>
      <c r="M100" s="115">
        <f>SUMIFS('Invoices - Preopening'!$I$20:$I$299,'Invoices - Preopening'!$H$20:$H$299,"&gt;="&amp;M$6,'Invoices - Preopening'!$H$20:$H$299,"&lt;="&amp;M$7,'Invoices - Preopening'!$C$20:$C$299,'Model - Preopening &amp; Fees'!$B100)</f>
        <v>0</v>
      </c>
      <c r="N100" s="115">
        <f>SUMIFS('Invoices - Preopening'!$I$20:$I$299,'Invoices - Preopening'!$H$20:$H$299,"&gt;="&amp;N$6,'Invoices - Preopening'!$H$20:$H$299,"&lt;="&amp;N$7,'Invoices - Preopening'!$C$20:$C$299,'Model - Preopening &amp; Fees'!$B100)</f>
        <v>0</v>
      </c>
      <c r="O100" s="115">
        <f>SUMIFS('Invoices - Preopening'!$I$20:$I$299,'Invoices - Preopening'!$H$20:$H$299,"&gt;="&amp;O$6,'Invoices - Preopening'!$H$20:$H$299,"&lt;="&amp;O$7,'Invoices - Preopening'!$C$20:$C$299,'Model - Preopening &amp; Fees'!$B100)</f>
        <v>0</v>
      </c>
      <c r="P100" s="115">
        <f>SUMIFS('Invoices - Preopening'!$I$20:$I$299,'Invoices - Preopening'!$H$20:$H$299,"&gt;="&amp;P$6,'Invoices - Preopening'!$H$20:$H$299,"&lt;="&amp;P$7,'Invoices - Preopening'!$C$20:$C$299,'Model - Preopening &amp; Fees'!$B100)</f>
        <v>0</v>
      </c>
      <c r="Q100" s="115">
        <f>SUMIFS('Invoices - Preopening'!$I$20:$I$299,'Invoices - Preopening'!$H$20:$H$299,"&gt;="&amp;Q$6,'Invoices - Preopening'!$H$20:$H$299,"&lt;="&amp;Q$7,'Invoices - Preopening'!$C$20:$C$299,'Model - Preopening &amp; Fees'!$B100)</f>
        <v>0</v>
      </c>
      <c r="R100" s="115">
        <f>SUMIFS('Invoices - Preopening'!$I$20:$I$299,'Invoices - Preopening'!$H$20:$H$299,"&gt;="&amp;R$6,'Invoices - Preopening'!$H$20:$H$299,"&lt;="&amp;R$7,'Invoices - Preopening'!$C$20:$C$299,'Model - Preopening &amp; Fees'!$B100)</f>
        <v>0</v>
      </c>
      <c r="S100" s="115">
        <f>SUMIFS('Invoices - Preopening'!$I$20:$I$299,'Invoices - Preopening'!$H$20:$H$299,"&gt;="&amp;S$6,'Invoices - Preopening'!$H$20:$H$299,"&lt;="&amp;S$7,'Invoices - Preopening'!$C$20:$C$299,'Model - Preopening &amp; Fees'!$B100)</f>
        <v>0</v>
      </c>
      <c r="T100" s="115">
        <f>SUMIFS('Invoices - Preopening'!$I$20:$I$299,'Invoices - Preopening'!$H$20:$H$299,"&gt;="&amp;T$6,'Invoices - Preopening'!$H$20:$H$299,"&lt;="&amp;T$7,'Invoices - Preopening'!$C$20:$C$299,'Model - Preopening &amp; Fees'!$B100)</f>
        <v>0</v>
      </c>
      <c r="U100" s="115">
        <f>SUMIFS('Invoices - Preopening'!$I$20:$I$299,'Invoices - Preopening'!$H$20:$H$299,"&gt;="&amp;U$6,'Invoices - Preopening'!$H$20:$H$299,"&lt;="&amp;U$7,'Invoices - Preopening'!$C$20:$C$299,'Model - Preopening &amp; Fees'!$B100)</f>
        <v>0</v>
      </c>
      <c r="V100" s="115">
        <f>SUMIFS('Invoices - Preopening'!$I$20:$I$299,'Invoices - Preopening'!$H$20:$H$299,"&gt;="&amp;V$6,'Invoices - Preopening'!$H$20:$H$299,"&lt;="&amp;V$7,'Invoices - Preopening'!$C$20:$C$299,'Model - Preopening &amp; Fees'!$B100)</f>
        <v>0</v>
      </c>
      <c r="W100" s="115">
        <f>SUMIFS('Invoices - Preopening'!$I$20:$I$299,'Invoices - Preopening'!$H$20:$H$299,"&gt;="&amp;W$6,'Invoices - Preopening'!$H$20:$H$299,"&lt;="&amp;W$7,'Invoices - Preopening'!$C$20:$C$299,'Model - Preopening &amp; Fees'!$B100)</f>
        <v>0</v>
      </c>
      <c r="X100" s="115">
        <f>SUMIFS('Invoices - Preopening'!$I$20:$I$299,'Invoices - Preopening'!$H$20:$H$299,"&gt;="&amp;X$6,'Invoices - Preopening'!$H$20:$H$299,"&lt;="&amp;X$7,'Invoices - Preopening'!$C$20:$C$299,'Model - Preopening &amp; Fees'!$B100)</f>
        <v>0</v>
      </c>
      <c r="Y100" s="115">
        <f>SUMIFS('Invoices - Preopening'!$I$20:$I$299,'Invoices - Preopening'!$H$20:$H$299,"&gt;="&amp;Y$6,'Invoices - Preopening'!$H$20:$H$299,"&lt;="&amp;Y$7,'Invoices - Preopening'!$C$20:$C$299,'Model - Preopening &amp; Fees'!$B100)</f>
        <v>0</v>
      </c>
      <c r="Z100" s="115">
        <f>SUMIFS('Invoices - Preopening'!$I$20:$I$299,'Invoices - Preopening'!$H$20:$H$299,"&gt;="&amp;Z$6,'Invoices - Preopening'!$H$20:$H$299,"&lt;="&amp;Z$7,'Invoices - Preopening'!$C$20:$C$299,'Model - Preopening &amp; Fees'!$B100)</f>
        <v>0</v>
      </c>
      <c r="AA100" s="115">
        <f>SUMIFS('Invoices - Preopening'!$I$20:$I$299,'Invoices - Preopening'!$H$20:$H$299,"&gt;="&amp;AA$6,'Invoices - Preopening'!$H$20:$H$299,"&lt;="&amp;AA$7,'Invoices - Preopening'!$C$20:$C$299,'Model - Preopening &amp; Fees'!$B100)</f>
        <v>0</v>
      </c>
      <c r="AB100" s="115">
        <f>SUMIFS('Invoices - Preopening'!$I$20:$I$299,'Invoices - Preopening'!$H$20:$H$299,"&gt;="&amp;AB$6,'Invoices - Preopening'!$H$20:$H$299,"&lt;="&amp;AB$7,'Invoices - Preopening'!$C$20:$C$299,'Model - Preopening &amp; Fees'!$B100)</f>
        <v>0</v>
      </c>
      <c r="AC100" s="115">
        <f>SUMIFS('Invoices - Preopening'!$I$20:$I$299,'Invoices - Preopening'!$H$20:$H$299,"&gt;="&amp;AC$6,'Invoices - Preopening'!$H$20:$H$299,"&lt;="&amp;AC$7,'Invoices - Preopening'!$C$20:$C$299,'Model - Preopening &amp; Fees'!$B100)</f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1000</v>
      </c>
      <c r="AI100" s="9">
        <v>1000</v>
      </c>
      <c r="AJ100" s="9">
        <v>1000</v>
      </c>
      <c r="AK100" s="9">
        <v>1000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T100" s="24">
        <f t="shared" ref="AT100:BD109" si="89">-SUMIFS($L100:$AR100,$L$5:$AR$5,AT$5)</f>
        <v>0</v>
      </c>
      <c r="AU100" s="24">
        <f t="shared" si="89"/>
        <v>0</v>
      </c>
      <c r="AV100" s="24">
        <f t="shared" si="89"/>
        <v>0</v>
      </c>
      <c r="AW100" s="24">
        <f t="shared" si="89"/>
        <v>0</v>
      </c>
      <c r="AX100" s="24">
        <f t="shared" si="89"/>
        <v>0</v>
      </c>
      <c r="AY100" s="1">
        <f t="shared" si="89"/>
        <v>0</v>
      </c>
      <c r="AZ100" s="1">
        <f t="shared" si="89"/>
        <v>0</v>
      </c>
      <c r="BA100" s="1">
        <f t="shared" si="89"/>
        <v>-2000</v>
      </c>
      <c r="BB100" s="1">
        <f t="shared" si="89"/>
        <v>-2000</v>
      </c>
      <c r="BC100" s="1">
        <f t="shared" si="89"/>
        <v>0</v>
      </c>
      <c r="BD100" s="1">
        <f t="shared" si="89"/>
        <v>0</v>
      </c>
      <c r="BF100" s="1">
        <f t="shared" ref="BF100:BF110" si="90">SUM(AT100:BD100)</f>
        <v>-4000</v>
      </c>
    </row>
    <row r="101" spans="1:59" x14ac:dyDescent="0.25">
      <c r="A101">
        <v>1</v>
      </c>
      <c r="B101" s="144" t="s">
        <v>269</v>
      </c>
      <c r="C101" s="21"/>
      <c r="D101" s="2" t="s">
        <v>160</v>
      </c>
      <c r="E101" s="2" t="s">
        <v>161</v>
      </c>
      <c r="F101" s="9">
        <f t="shared" ref="F101:F109" si="91">SUM(AD101:AL101)</f>
        <v>3900</v>
      </c>
      <c r="G101" s="59">
        <f t="shared" ref="G101:G109" si="92">SUMIFS($L101:$AR101,$L$7:$AR$7,"&lt;="&amp;$J$4)</f>
        <v>0</v>
      </c>
      <c r="H101" s="59">
        <f t="shared" si="87"/>
        <v>3900</v>
      </c>
      <c r="J101" s="1">
        <f t="shared" ref="J101:J105" si="93">SUM(L101:AR101)</f>
        <v>3900</v>
      </c>
      <c r="L101" s="115">
        <f>SUMIFS('Invoices - Preopening'!$I$20:$I$299,'Invoices - Preopening'!$H$20:$H$299,"&gt;="&amp;L$6,'Invoices - Preopening'!$H$20:$H$299,"&lt;="&amp;L$7,'Invoices - Preopening'!$C$20:$C$299,'Model - Preopening &amp; Fees'!$B101)</f>
        <v>0</v>
      </c>
      <c r="M101" s="115">
        <f>SUMIFS('Invoices - Preopening'!$I$20:$I$299,'Invoices - Preopening'!$H$20:$H$299,"&gt;="&amp;M$6,'Invoices - Preopening'!$H$20:$H$299,"&lt;="&amp;M$7,'Invoices - Preopening'!$C$20:$C$299,'Model - Preopening &amp; Fees'!$B101)</f>
        <v>0</v>
      </c>
      <c r="N101" s="115">
        <f>SUMIFS('Invoices - Preopening'!$I$20:$I$299,'Invoices - Preopening'!$H$20:$H$299,"&gt;="&amp;N$6,'Invoices - Preopening'!$H$20:$H$299,"&lt;="&amp;N$7,'Invoices - Preopening'!$C$20:$C$299,'Model - Preopening &amp; Fees'!$B101)</f>
        <v>0</v>
      </c>
      <c r="O101" s="115">
        <f>SUMIFS('Invoices - Preopening'!$I$20:$I$299,'Invoices - Preopening'!$H$20:$H$299,"&gt;="&amp;O$6,'Invoices - Preopening'!$H$20:$H$299,"&lt;="&amp;O$7,'Invoices - Preopening'!$C$20:$C$299,'Model - Preopening &amp; Fees'!$B101)</f>
        <v>0</v>
      </c>
      <c r="P101" s="115">
        <f>SUMIFS('Invoices - Preopening'!$I$20:$I$299,'Invoices - Preopening'!$H$20:$H$299,"&gt;="&amp;P$6,'Invoices - Preopening'!$H$20:$H$299,"&lt;="&amp;P$7,'Invoices - Preopening'!$C$20:$C$299,'Model - Preopening &amp; Fees'!$B101)</f>
        <v>0</v>
      </c>
      <c r="Q101" s="115">
        <f>SUMIFS('Invoices - Preopening'!$I$20:$I$299,'Invoices - Preopening'!$H$20:$H$299,"&gt;="&amp;Q$6,'Invoices - Preopening'!$H$20:$H$299,"&lt;="&amp;Q$7,'Invoices - Preopening'!$C$20:$C$299,'Model - Preopening &amp; Fees'!$B101)</f>
        <v>0</v>
      </c>
      <c r="R101" s="115">
        <f>SUMIFS('Invoices - Preopening'!$I$20:$I$299,'Invoices - Preopening'!$H$20:$H$299,"&gt;="&amp;R$6,'Invoices - Preopening'!$H$20:$H$299,"&lt;="&amp;R$7,'Invoices - Preopening'!$C$20:$C$299,'Model - Preopening &amp; Fees'!$B101)</f>
        <v>0</v>
      </c>
      <c r="S101" s="115">
        <f>SUMIFS('Invoices - Preopening'!$I$20:$I$299,'Invoices - Preopening'!$H$20:$H$299,"&gt;="&amp;S$6,'Invoices - Preopening'!$H$20:$H$299,"&lt;="&amp;S$7,'Invoices - Preopening'!$C$20:$C$299,'Model - Preopening &amp; Fees'!$B101)</f>
        <v>0</v>
      </c>
      <c r="T101" s="115">
        <f>SUMIFS('Invoices - Preopening'!$I$20:$I$299,'Invoices - Preopening'!$H$20:$H$299,"&gt;="&amp;T$6,'Invoices - Preopening'!$H$20:$H$299,"&lt;="&amp;T$7,'Invoices - Preopening'!$C$20:$C$299,'Model - Preopening &amp; Fees'!$B101)</f>
        <v>0</v>
      </c>
      <c r="U101" s="115">
        <f>SUMIFS('Invoices - Preopening'!$I$20:$I$299,'Invoices - Preopening'!$H$20:$H$299,"&gt;="&amp;U$6,'Invoices - Preopening'!$H$20:$H$299,"&lt;="&amp;U$7,'Invoices - Preopening'!$C$20:$C$299,'Model - Preopening &amp; Fees'!$B101)</f>
        <v>0</v>
      </c>
      <c r="V101" s="115">
        <f>SUMIFS('Invoices - Preopening'!$I$20:$I$299,'Invoices - Preopening'!$H$20:$H$299,"&gt;="&amp;V$6,'Invoices - Preopening'!$H$20:$H$299,"&lt;="&amp;V$7,'Invoices - Preopening'!$C$20:$C$299,'Model - Preopening &amp; Fees'!$B101)</f>
        <v>0</v>
      </c>
      <c r="W101" s="115">
        <f>SUMIFS('Invoices - Preopening'!$I$20:$I$299,'Invoices - Preopening'!$H$20:$H$299,"&gt;="&amp;W$6,'Invoices - Preopening'!$H$20:$H$299,"&lt;="&amp;W$7,'Invoices - Preopening'!$C$20:$C$299,'Model - Preopening &amp; Fees'!$B101)</f>
        <v>0</v>
      </c>
      <c r="X101" s="115">
        <f>SUMIFS('Invoices - Preopening'!$I$20:$I$299,'Invoices - Preopening'!$H$20:$H$299,"&gt;="&amp;X$6,'Invoices - Preopening'!$H$20:$H$299,"&lt;="&amp;X$7,'Invoices - Preopening'!$C$20:$C$299,'Model - Preopening &amp; Fees'!$B101)</f>
        <v>0</v>
      </c>
      <c r="Y101" s="115">
        <f>SUMIFS('Invoices - Preopening'!$I$20:$I$299,'Invoices - Preopening'!$H$20:$H$299,"&gt;="&amp;Y$6,'Invoices - Preopening'!$H$20:$H$299,"&lt;="&amp;Y$7,'Invoices - Preopening'!$C$20:$C$299,'Model - Preopening &amp; Fees'!$B101)</f>
        <v>0</v>
      </c>
      <c r="Z101" s="115">
        <f>SUMIFS('Invoices - Preopening'!$I$20:$I$299,'Invoices - Preopening'!$H$20:$H$299,"&gt;="&amp;Z$6,'Invoices - Preopening'!$H$20:$H$299,"&lt;="&amp;Z$7,'Invoices - Preopening'!$C$20:$C$299,'Model - Preopening &amp; Fees'!$B101)</f>
        <v>0</v>
      </c>
      <c r="AA101" s="115">
        <f>SUMIFS('Invoices - Preopening'!$I$20:$I$299,'Invoices - Preopening'!$H$20:$H$299,"&gt;="&amp;AA$6,'Invoices - Preopening'!$H$20:$H$299,"&lt;="&amp;AA$7,'Invoices - Preopening'!$C$20:$C$299,'Model - Preopening &amp; Fees'!$B101)</f>
        <v>0</v>
      </c>
      <c r="AB101" s="115">
        <f>SUMIFS('Invoices - Preopening'!$I$20:$I$299,'Invoices - Preopening'!$H$20:$H$299,"&gt;="&amp;AB$6,'Invoices - Preopening'!$H$20:$H$299,"&lt;="&amp;AB$7,'Invoices - Preopening'!$C$20:$C$299,'Model - Preopening &amp; Fees'!$B101)</f>
        <v>0</v>
      </c>
      <c r="AC101" s="115">
        <f>SUMIFS('Invoices - Preopening'!$I$20:$I$299,'Invoices - Preopening'!$H$20:$H$299,"&gt;="&amp;AC$6,'Invoices - Preopening'!$H$20:$H$299,"&lt;="&amp;AC$7,'Invoices - Preopening'!$C$20:$C$299,'Model - Preopening &amp; Fees'!$B101)</f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2100</v>
      </c>
      <c r="AI101" s="9">
        <v>600</v>
      </c>
      <c r="AJ101" s="9">
        <v>600</v>
      </c>
      <c r="AK101" s="9">
        <v>600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T101" s="24">
        <f t="shared" si="89"/>
        <v>0</v>
      </c>
      <c r="AU101" s="24">
        <f t="shared" si="89"/>
        <v>0</v>
      </c>
      <c r="AV101" s="24">
        <f t="shared" si="89"/>
        <v>0</v>
      </c>
      <c r="AW101" s="24">
        <f t="shared" si="89"/>
        <v>0</v>
      </c>
      <c r="AX101" s="24">
        <f t="shared" si="89"/>
        <v>0</v>
      </c>
      <c r="AY101" s="1">
        <f t="shared" si="89"/>
        <v>0</v>
      </c>
      <c r="AZ101" s="1">
        <f t="shared" si="89"/>
        <v>0</v>
      </c>
      <c r="BA101" s="1">
        <f t="shared" si="89"/>
        <v>-2700</v>
      </c>
      <c r="BB101" s="1">
        <f t="shared" si="89"/>
        <v>-1200</v>
      </c>
      <c r="BC101" s="1">
        <f t="shared" si="89"/>
        <v>0</v>
      </c>
      <c r="BD101" s="1">
        <f t="shared" si="89"/>
        <v>0</v>
      </c>
      <c r="BF101" s="1">
        <f t="shared" ref="BF101:BF105" si="94">SUM(AT101:BD101)</f>
        <v>-3900</v>
      </c>
    </row>
    <row r="102" spans="1:59" x14ac:dyDescent="0.25">
      <c r="A102">
        <v>1</v>
      </c>
      <c r="B102" s="144" t="s">
        <v>270</v>
      </c>
      <c r="C102" s="21"/>
      <c r="D102" s="2" t="s">
        <v>160</v>
      </c>
      <c r="E102" s="2" t="s">
        <v>161</v>
      </c>
      <c r="F102" s="9">
        <f t="shared" si="91"/>
        <v>2000</v>
      </c>
      <c r="G102" s="59">
        <f t="shared" si="92"/>
        <v>0</v>
      </c>
      <c r="H102" s="59">
        <f t="shared" si="87"/>
        <v>2000</v>
      </c>
      <c r="J102" s="1">
        <f t="shared" si="93"/>
        <v>2000</v>
      </c>
      <c r="L102" s="115">
        <f>SUMIFS('Invoices - Preopening'!$I$20:$I$299,'Invoices - Preopening'!$H$20:$H$299,"&gt;="&amp;L$6,'Invoices - Preopening'!$H$20:$H$299,"&lt;="&amp;L$7,'Invoices - Preopening'!$C$20:$C$299,'Model - Preopening &amp; Fees'!$B102)</f>
        <v>0</v>
      </c>
      <c r="M102" s="115">
        <f>SUMIFS('Invoices - Preopening'!$I$20:$I$299,'Invoices - Preopening'!$H$20:$H$299,"&gt;="&amp;M$6,'Invoices - Preopening'!$H$20:$H$299,"&lt;="&amp;M$7,'Invoices - Preopening'!$C$20:$C$299,'Model - Preopening &amp; Fees'!$B102)</f>
        <v>0</v>
      </c>
      <c r="N102" s="115">
        <f>SUMIFS('Invoices - Preopening'!$I$20:$I$299,'Invoices - Preopening'!$H$20:$H$299,"&gt;="&amp;N$6,'Invoices - Preopening'!$H$20:$H$299,"&lt;="&amp;N$7,'Invoices - Preopening'!$C$20:$C$299,'Model - Preopening &amp; Fees'!$B102)</f>
        <v>0</v>
      </c>
      <c r="O102" s="115">
        <f>SUMIFS('Invoices - Preopening'!$I$20:$I$299,'Invoices - Preopening'!$H$20:$H$299,"&gt;="&amp;O$6,'Invoices - Preopening'!$H$20:$H$299,"&lt;="&amp;O$7,'Invoices - Preopening'!$C$20:$C$299,'Model - Preopening &amp; Fees'!$B102)</f>
        <v>0</v>
      </c>
      <c r="P102" s="115">
        <f>SUMIFS('Invoices - Preopening'!$I$20:$I$299,'Invoices - Preopening'!$H$20:$H$299,"&gt;="&amp;P$6,'Invoices - Preopening'!$H$20:$H$299,"&lt;="&amp;P$7,'Invoices - Preopening'!$C$20:$C$299,'Model - Preopening &amp; Fees'!$B102)</f>
        <v>0</v>
      </c>
      <c r="Q102" s="115">
        <f>SUMIFS('Invoices - Preopening'!$I$20:$I$299,'Invoices - Preopening'!$H$20:$H$299,"&gt;="&amp;Q$6,'Invoices - Preopening'!$H$20:$H$299,"&lt;="&amp;Q$7,'Invoices - Preopening'!$C$20:$C$299,'Model - Preopening &amp; Fees'!$B102)</f>
        <v>0</v>
      </c>
      <c r="R102" s="115">
        <f>SUMIFS('Invoices - Preopening'!$I$20:$I$299,'Invoices - Preopening'!$H$20:$H$299,"&gt;="&amp;R$6,'Invoices - Preopening'!$H$20:$H$299,"&lt;="&amp;R$7,'Invoices - Preopening'!$C$20:$C$299,'Model - Preopening &amp; Fees'!$B102)</f>
        <v>0</v>
      </c>
      <c r="S102" s="115">
        <f>SUMIFS('Invoices - Preopening'!$I$20:$I$299,'Invoices - Preopening'!$H$20:$H$299,"&gt;="&amp;S$6,'Invoices - Preopening'!$H$20:$H$299,"&lt;="&amp;S$7,'Invoices - Preopening'!$C$20:$C$299,'Model - Preopening &amp; Fees'!$B102)</f>
        <v>0</v>
      </c>
      <c r="T102" s="115">
        <f>SUMIFS('Invoices - Preopening'!$I$20:$I$299,'Invoices - Preopening'!$H$20:$H$299,"&gt;="&amp;T$6,'Invoices - Preopening'!$H$20:$H$299,"&lt;="&amp;T$7,'Invoices - Preopening'!$C$20:$C$299,'Model - Preopening &amp; Fees'!$B102)</f>
        <v>0</v>
      </c>
      <c r="U102" s="115">
        <f>SUMIFS('Invoices - Preopening'!$I$20:$I$299,'Invoices - Preopening'!$H$20:$H$299,"&gt;="&amp;U$6,'Invoices - Preopening'!$H$20:$H$299,"&lt;="&amp;U$7,'Invoices - Preopening'!$C$20:$C$299,'Model - Preopening &amp; Fees'!$B102)</f>
        <v>0</v>
      </c>
      <c r="V102" s="115">
        <f>SUMIFS('Invoices - Preopening'!$I$20:$I$299,'Invoices - Preopening'!$H$20:$H$299,"&gt;="&amp;V$6,'Invoices - Preopening'!$H$20:$H$299,"&lt;="&amp;V$7,'Invoices - Preopening'!$C$20:$C$299,'Model - Preopening &amp; Fees'!$B102)</f>
        <v>0</v>
      </c>
      <c r="W102" s="115">
        <f>SUMIFS('Invoices - Preopening'!$I$20:$I$299,'Invoices - Preopening'!$H$20:$H$299,"&gt;="&amp;W$6,'Invoices - Preopening'!$H$20:$H$299,"&lt;="&amp;W$7,'Invoices - Preopening'!$C$20:$C$299,'Model - Preopening &amp; Fees'!$B102)</f>
        <v>0</v>
      </c>
      <c r="X102" s="115">
        <f>SUMIFS('Invoices - Preopening'!$I$20:$I$299,'Invoices - Preopening'!$H$20:$H$299,"&gt;="&amp;X$6,'Invoices - Preopening'!$H$20:$H$299,"&lt;="&amp;X$7,'Invoices - Preopening'!$C$20:$C$299,'Model - Preopening &amp; Fees'!$B102)</f>
        <v>0</v>
      </c>
      <c r="Y102" s="115">
        <f>SUMIFS('Invoices - Preopening'!$I$20:$I$299,'Invoices - Preopening'!$H$20:$H$299,"&gt;="&amp;Y$6,'Invoices - Preopening'!$H$20:$H$299,"&lt;="&amp;Y$7,'Invoices - Preopening'!$C$20:$C$299,'Model - Preopening &amp; Fees'!$B102)</f>
        <v>0</v>
      </c>
      <c r="Z102" s="115">
        <f>SUMIFS('Invoices - Preopening'!$I$20:$I$299,'Invoices - Preopening'!$H$20:$H$299,"&gt;="&amp;Z$6,'Invoices - Preopening'!$H$20:$H$299,"&lt;="&amp;Z$7,'Invoices - Preopening'!$C$20:$C$299,'Model - Preopening &amp; Fees'!$B102)</f>
        <v>0</v>
      </c>
      <c r="AA102" s="115">
        <f>SUMIFS('Invoices - Preopening'!$I$20:$I$299,'Invoices - Preopening'!$H$20:$H$299,"&gt;="&amp;AA$6,'Invoices - Preopening'!$H$20:$H$299,"&lt;="&amp;AA$7,'Invoices - Preopening'!$C$20:$C$299,'Model - Preopening &amp; Fees'!$B102)</f>
        <v>0</v>
      </c>
      <c r="AB102" s="115">
        <f>SUMIFS('Invoices - Preopening'!$I$20:$I$299,'Invoices - Preopening'!$H$20:$H$299,"&gt;="&amp;AB$6,'Invoices - Preopening'!$H$20:$H$299,"&lt;="&amp;AB$7,'Invoices - Preopening'!$C$20:$C$299,'Model - Preopening &amp; Fees'!$B102)</f>
        <v>0</v>
      </c>
      <c r="AC102" s="115">
        <f>SUMIFS('Invoices - Preopening'!$I$20:$I$299,'Invoices - Preopening'!$H$20:$H$299,"&gt;="&amp;AC$6,'Invoices - Preopening'!$H$20:$H$299,"&lt;="&amp;AC$7,'Invoices - Preopening'!$C$20:$C$299,'Model - Preopening &amp; Fees'!$B102)</f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500</v>
      </c>
      <c r="AI102" s="9">
        <v>500</v>
      </c>
      <c r="AJ102" s="9">
        <v>500</v>
      </c>
      <c r="AK102" s="9">
        <v>500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T102" s="24">
        <f t="shared" si="89"/>
        <v>0</v>
      </c>
      <c r="AU102" s="24">
        <f t="shared" si="89"/>
        <v>0</v>
      </c>
      <c r="AV102" s="24">
        <f t="shared" si="89"/>
        <v>0</v>
      </c>
      <c r="AW102" s="24">
        <f t="shared" si="89"/>
        <v>0</v>
      </c>
      <c r="AX102" s="24">
        <f t="shared" si="89"/>
        <v>0</v>
      </c>
      <c r="AY102" s="1">
        <f t="shared" si="89"/>
        <v>0</v>
      </c>
      <c r="AZ102" s="1">
        <f t="shared" si="89"/>
        <v>0</v>
      </c>
      <c r="BA102" s="1">
        <f t="shared" si="89"/>
        <v>-1000</v>
      </c>
      <c r="BB102" s="1">
        <f t="shared" si="89"/>
        <v>-1000</v>
      </c>
      <c r="BC102" s="1">
        <f t="shared" si="89"/>
        <v>0</v>
      </c>
      <c r="BD102" s="1">
        <f t="shared" si="89"/>
        <v>0</v>
      </c>
      <c r="BF102" s="1">
        <f t="shared" si="94"/>
        <v>-2000</v>
      </c>
    </row>
    <row r="103" spans="1:59" x14ac:dyDescent="0.25">
      <c r="A103">
        <v>1</v>
      </c>
      <c r="B103" s="144" t="s">
        <v>162</v>
      </c>
      <c r="C103" s="21"/>
      <c r="D103" s="2" t="s">
        <v>160</v>
      </c>
      <c r="E103" s="2" t="s">
        <v>161</v>
      </c>
      <c r="F103" s="9">
        <f t="shared" si="91"/>
        <v>600</v>
      </c>
      <c r="G103" s="59">
        <f t="shared" si="92"/>
        <v>0</v>
      </c>
      <c r="H103" s="59">
        <f t="shared" si="87"/>
        <v>600</v>
      </c>
      <c r="J103" s="1">
        <f t="shared" si="93"/>
        <v>600</v>
      </c>
      <c r="L103" s="115">
        <f>SUMIFS('Invoices - Preopening'!$I$20:$I$299,'Invoices - Preopening'!$H$20:$H$299,"&gt;="&amp;L$6,'Invoices - Preopening'!$H$20:$H$299,"&lt;="&amp;L$7,'Invoices - Preopening'!$C$20:$C$299,'Model - Preopening &amp; Fees'!$B103)</f>
        <v>0</v>
      </c>
      <c r="M103" s="115">
        <f>SUMIFS('Invoices - Preopening'!$I$20:$I$299,'Invoices - Preopening'!$H$20:$H$299,"&gt;="&amp;M$6,'Invoices - Preopening'!$H$20:$H$299,"&lt;="&amp;M$7,'Invoices - Preopening'!$C$20:$C$299,'Model - Preopening &amp; Fees'!$B103)</f>
        <v>0</v>
      </c>
      <c r="N103" s="115">
        <f>SUMIFS('Invoices - Preopening'!$I$20:$I$299,'Invoices - Preopening'!$H$20:$H$299,"&gt;="&amp;N$6,'Invoices - Preopening'!$H$20:$H$299,"&lt;="&amp;N$7,'Invoices - Preopening'!$C$20:$C$299,'Model - Preopening &amp; Fees'!$B103)</f>
        <v>0</v>
      </c>
      <c r="O103" s="115">
        <f>SUMIFS('Invoices - Preopening'!$I$20:$I$299,'Invoices - Preopening'!$H$20:$H$299,"&gt;="&amp;O$6,'Invoices - Preopening'!$H$20:$H$299,"&lt;="&amp;O$7,'Invoices - Preopening'!$C$20:$C$299,'Model - Preopening &amp; Fees'!$B103)</f>
        <v>0</v>
      </c>
      <c r="P103" s="115">
        <f>SUMIFS('Invoices - Preopening'!$I$20:$I$299,'Invoices - Preopening'!$H$20:$H$299,"&gt;="&amp;P$6,'Invoices - Preopening'!$H$20:$H$299,"&lt;="&amp;P$7,'Invoices - Preopening'!$C$20:$C$299,'Model - Preopening &amp; Fees'!$B103)</f>
        <v>0</v>
      </c>
      <c r="Q103" s="115">
        <f>SUMIFS('Invoices - Preopening'!$I$20:$I$299,'Invoices - Preopening'!$H$20:$H$299,"&gt;="&amp;Q$6,'Invoices - Preopening'!$H$20:$H$299,"&lt;="&amp;Q$7,'Invoices - Preopening'!$C$20:$C$299,'Model - Preopening &amp; Fees'!$B103)</f>
        <v>0</v>
      </c>
      <c r="R103" s="115">
        <f>SUMIFS('Invoices - Preopening'!$I$20:$I$299,'Invoices - Preopening'!$H$20:$H$299,"&gt;="&amp;R$6,'Invoices - Preopening'!$H$20:$H$299,"&lt;="&amp;R$7,'Invoices - Preopening'!$C$20:$C$299,'Model - Preopening &amp; Fees'!$B103)</f>
        <v>0</v>
      </c>
      <c r="S103" s="115">
        <f>SUMIFS('Invoices - Preopening'!$I$20:$I$299,'Invoices - Preopening'!$H$20:$H$299,"&gt;="&amp;S$6,'Invoices - Preopening'!$H$20:$H$299,"&lt;="&amp;S$7,'Invoices - Preopening'!$C$20:$C$299,'Model - Preopening &amp; Fees'!$B103)</f>
        <v>0</v>
      </c>
      <c r="T103" s="115">
        <f>SUMIFS('Invoices - Preopening'!$I$20:$I$299,'Invoices - Preopening'!$H$20:$H$299,"&gt;="&amp;T$6,'Invoices - Preopening'!$H$20:$H$299,"&lt;="&amp;T$7,'Invoices - Preopening'!$C$20:$C$299,'Model - Preopening &amp; Fees'!$B103)</f>
        <v>0</v>
      </c>
      <c r="U103" s="115">
        <f>SUMIFS('Invoices - Preopening'!$I$20:$I$299,'Invoices - Preopening'!$H$20:$H$299,"&gt;="&amp;U$6,'Invoices - Preopening'!$H$20:$H$299,"&lt;="&amp;U$7,'Invoices - Preopening'!$C$20:$C$299,'Model - Preopening &amp; Fees'!$B103)</f>
        <v>0</v>
      </c>
      <c r="V103" s="115">
        <f>SUMIFS('Invoices - Preopening'!$I$20:$I$299,'Invoices - Preopening'!$H$20:$H$299,"&gt;="&amp;V$6,'Invoices - Preopening'!$H$20:$H$299,"&lt;="&amp;V$7,'Invoices - Preopening'!$C$20:$C$299,'Model - Preopening &amp; Fees'!$B103)</f>
        <v>0</v>
      </c>
      <c r="W103" s="115">
        <f>SUMIFS('Invoices - Preopening'!$I$20:$I$299,'Invoices - Preopening'!$H$20:$H$299,"&gt;="&amp;W$6,'Invoices - Preopening'!$H$20:$H$299,"&lt;="&amp;W$7,'Invoices - Preopening'!$C$20:$C$299,'Model - Preopening &amp; Fees'!$B103)</f>
        <v>0</v>
      </c>
      <c r="X103" s="115">
        <f>SUMIFS('Invoices - Preopening'!$I$20:$I$299,'Invoices - Preopening'!$H$20:$H$299,"&gt;="&amp;X$6,'Invoices - Preopening'!$H$20:$H$299,"&lt;="&amp;X$7,'Invoices - Preopening'!$C$20:$C$299,'Model - Preopening &amp; Fees'!$B103)</f>
        <v>0</v>
      </c>
      <c r="Y103" s="115">
        <f>SUMIFS('Invoices - Preopening'!$I$20:$I$299,'Invoices - Preopening'!$H$20:$H$299,"&gt;="&amp;Y$6,'Invoices - Preopening'!$H$20:$H$299,"&lt;="&amp;Y$7,'Invoices - Preopening'!$C$20:$C$299,'Model - Preopening &amp; Fees'!$B103)</f>
        <v>0</v>
      </c>
      <c r="Z103" s="115">
        <f>SUMIFS('Invoices - Preopening'!$I$20:$I$299,'Invoices - Preopening'!$H$20:$H$299,"&gt;="&amp;Z$6,'Invoices - Preopening'!$H$20:$H$299,"&lt;="&amp;Z$7,'Invoices - Preopening'!$C$20:$C$299,'Model - Preopening &amp; Fees'!$B103)</f>
        <v>0</v>
      </c>
      <c r="AA103" s="115">
        <f>SUMIFS('Invoices - Preopening'!$I$20:$I$299,'Invoices - Preopening'!$H$20:$H$299,"&gt;="&amp;AA$6,'Invoices - Preopening'!$H$20:$H$299,"&lt;="&amp;AA$7,'Invoices - Preopening'!$C$20:$C$299,'Model - Preopening &amp; Fees'!$B103)</f>
        <v>0</v>
      </c>
      <c r="AB103" s="115">
        <f>SUMIFS('Invoices - Preopening'!$I$20:$I$299,'Invoices - Preopening'!$H$20:$H$299,"&gt;="&amp;AB$6,'Invoices - Preopening'!$H$20:$H$299,"&lt;="&amp;AB$7,'Invoices - Preopening'!$C$20:$C$299,'Model - Preopening &amp; Fees'!$B103)</f>
        <v>0</v>
      </c>
      <c r="AC103" s="115">
        <f>SUMIFS('Invoices - Preopening'!$I$20:$I$299,'Invoices - Preopening'!$H$20:$H$299,"&gt;="&amp;AC$6,'Invoices - Preopening'!$H$20:$H$299,"&lt;="&amp;AC$7,'Invoices - Preopening'!$C$20:$C$299,'Model - Preopening &amp; Fees'!$B103)</f>
        <v>0</v>
      </c>
      <c r="AD103" s="9">
        <v>0</v>
      </c>
      <c r="AE103" s="9">
        <v>0</v>
      </c>
      <c r="AF103" s="9">
        <v>0</v>
      </c>
      <c r="AG103" s="9">
        <v>0</v>
      </c>
      <c r="AH103" s="9"/>
      <c r="AI103" s="9">
        <v>200</v>
      </c>
      <c r="AJ103" s="9">
        <v>200</v>
      </c>
      <c r="AK103" s="9">
        <v>200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T103" s="24">
        <f t="shared" si="89"/>
        <v>0</v>
      </c>
      <c r="AU103" s="24">
        <f t="shared" si="89"/>
        <v>0</v>
      </c>
      <c r="AV103" s="24">
        <f t="shared" si="89"/>
        <v>0</v>
      </c>
      <c r="AW103" s="24">
        <f t="shared" si="89"/>
        <v>0</v>
      </c>
      <c r="AX103" s="24">
        <f t="shared" si="89"/>
        <v>0</v>
      </c>
      <c r="AY103" s="1">
        <f t="shared" si="89"/>
        <v>0</v>
      </c>
      <c r="AZ103" s="1">
        <f t="shared" si="89"/>
        <v>0</v>
      </c>
      <c r="BA103" s="1">
        <f t="shared" si="89"/>
        <v>-200</v>
      </c>
      <c r="BB103" s="1">
        <f t="shared" si="89"/>
        <v>-400</v>
      </c>
      <c r="BC103" s="1">
        <f t="shared" si="89"/>
        <v>0</v>
      </c>
      <c r="BD103" s="1">
        <f t="shared" si="89"/>
        <v>0</v>
      </c>
      <c r="BF103" s="1">
        <f t="shared" si="94"/>
        <v>-600</v>
      </c>
    </row>
    <row r="104" spans="1:59" x14ac:dyDescent="0.25">
      <c r="A104">
        <v>1</v>
      </c>
      <c r="B104" s="144" t="s">
        <v>163</v>
      </c>
      <c r="C104" s="21"/>
      <c r="D104" s="2" t="s">
        <v>160</v>
      </c>
      <c r="E104" s="2" t="s">
        <v>161</v>
      </c>
      <c r="F104" s="9">
        <f t="shared" si="91"/>
        <v>17600</v>
      </c>
      <c r="G104" s="59">
        <f t="shared" si="92"/>
        <v>0</v>
      </c>
      <c r="H104" s="59">
        <f t="shared" si="87"/>
        <v>17600</v>
      </c>
      <c r="J104" s="1">
        <f t="shared" si="93"/>
        <v>17600</v>
      </c>
      <c r="L104" s="115">
        <f>SUMIFS('Invoices - Preopening'!$I$20:$I$299,'Invoices - Preopening'!$H$20:$H$299,"&gt;="&amp;L$6,'Invoices - Preopening'!$H$20:$H$299,"&lt;="&amp;L$7,'Invoices - Preopening'!$C$20:$C$299,'Model - Preopening &amp; Fees'!$B104)</f>
        <v>0</v>
      </c>
      <c r="M104" s="115">
        <f>SUMIFS('Invoices - Preopening'!$I$20:$I$299,'Invoices - Preopening'!$H$20:$H$299,"&gt;="&amp;M$6,'Invoices - Preopening'!$H$20:$H$299,"&lt;="&amp;M$7,'Invoices - Preopening'!$C$20:$C$299,'Model - Preopening &amp; Fees'!$B104)</f>
        <v>0</v>
      </c>
      <c r="N104" s="115">
        <f>SUMIFS('Invoices - Preopening'!$I$20:$I$299,'Invoices - Preopening'!$H$20:$H$299,"&gt;="&amp;N$6,'Invoices - Preopening'!$H$20:$H$299,"&lt;="&amp;N$7,'Invoices - Preopening'!$C$20:$C$299,'Model - Preopening &amp; Fees'!$B104)</f>
        <v>0</v>
      </c>
      <c r="O104" s="115">
        <f>SUMIFS('Invoices - Preopening'!$I$20:$I$299,'Invoices - Preopening'!$H$20:$H$299,"&gt;="&amp;O$6,'Invoices - Preopening'!$H$20:$H$299,"&lt;="&amp;O$7,'Invoices - Preopening'!$C$20:$C$299,'Model - Preopening &amp; Fees'!$B104)</f>
        <v>0</v>
      </c>
      <c r="P104" s="115">
        <f>SUMIFS('Invoices - Preopening'!$I$20:$I$299,'Invoices - Preopening'!$H$20:$H$299,"&gt;="&amp;P$6,'Invoices - Preopening'!$H$20:$H$299,"&lt;="&amp;P$7,'Invoices - Preopening'!$C$20:$C$299,'Model - Preopening &amp; Fees'!$B104)</f>
        <v>0</v>
      </c>
      <c r="Q104" s="115">
        <f>SUMIFS('Invoices - Preopening'!$I$20:$I$299,'Invoices - Preopening'!$H$20:$H$299,"&gt;="&amp;Q$6,'Invoices - Preopening'!$H$20:$H$299,"&lt;="&amp;Q$7,'Invoices - Preopening'!$C$20:$C$299,'Model - Preopening &amp; Fees'!$B104)</f>
        <v>0</v>
      </c>
      <c r="R104" s="115">
        <f>SUMIFS('Invoices - Preopening'!$I$20:$I$299,'Invoices - Preopening'!$H$20:$H$299,"&gt;="&amp;R$6,'Invoices - Preopening'!$H$20:$H$299,"&lt;="&amp;R$7,'Invoices - Preopening'!$C$20:$C$299,'Model - Preopening &amp; Fees'!$B104)</f>
        <v>0</v>
      </c>
      <c r="S104" s="115">
        <f>SUMIFS('Invoices - Preopening'!$I$20:$I$299,'Invoices - Preopening'!$H$20:$H$299,"&gt;="&amp;S$6,'Invoices - Preopening'!$H$20:$H$299,"&lt;="&amp;S$7,'Invoices - Preopening'!$C$20:$C$299,'Model - Preopening &amp; Fees'!$B104)</f>
        <v>0</v>
      </c>
      <c r="T104" s="115">
        <f>SUMIFS('Invoices - Preopening'!$I$20:$I$299,'Invoices - Preopening'!$H$20:$H$299,"&gt;="&amp;T$6,'Invoices - Preopening'!$H$20:$H$299,"&lt;="&amp;T$7,'Invoices - Preopening'!$C$20:$C$299,'Model - Preopening &amp; Fees'!$B104)</f>
        <v>0</v>
      </c>
      <c r="U104" s="115">
        <f>SUMIFS('Invoices - Preopening'!$I$20:$I$299,'Invoices - Preopening'!$H$20:$H$299,"&gt;="&amp;U$6,'Invoices - Preopening'!$H$20:$H$299,"&lt;="&amp;U$7,'Invoices - Preopening'!$C$20:$C$299,'Model - Preopening &amp; Fees'!$B104)</f>
        <v>0</v>
      </c>
      <c r="V104" s="115">
        <f>SUMIFS('Invoices - Preopening'!$I$20:$I$299,'Invoices - Preopening'!$H$20:$H$299,"&gt;="&amp;V$6,'Invoices - Preopening'!$H$20:$H$299,"&lt;="&amp;V$7,'Invoices - Preopening'!$C$20:$C$299,'Model - Preopening &amp; Fees'!$B104)</f>
        <v>0</v>
      </c>
      <c r="W104" s="115">
        <f>SUMIFS('Invoices - Preopening'!$I$20:$I$299,'Invoices - Preopening'!$H$20:$H$299,"&gt;="&amp;W$6,'Invoices - Preopening'!$H$20:$H$299,"&lt;="&amp;W$7,'Invoices - Preopening'!$C$20:$C$299,'Model - Preopening &amp; Fees'!$B104)</f>
        <v>0</v>
      </c>
      <c r="X104" s="115">
        <f>SUMIFS('Invoices - Preopening'!$I$20:$I$299,'Invoices - Preopening'!$H$20:$H$299,"&gt;="&amp;X$6,'Invoices - Preopening'!$H$20:$H$299,"&lt;="&amp;X$7,'Invoices - Preopening'!$C$20:$C$299,'Model - Preopening &amp; Fees'!$B104)</f>
        <v>0</v>
      </c>
      <c r="Y104" s="115">
        <f>SUMIFS('Invoices - Preopening'!$I$20:$I$299,'Invoices - Preopening'!$H$20:$H$299,"&gt;="&amp;Y$6,'Invoices - Preopening'!$H$20:$H$299,"&lt;="&amp;Y$7,'Invoices - Preopening'!$C$20:$C$299,'Model - Preopening &amp; Fees'!$B104)</f>
        <v>0</v>
      </c>
      <c r="Z104" s="115">
        <f>SUMIFS('Invoices - Preopening'!$I$20:$I$299,'Invoices - Preopening'!$H$20:$H$299,"&gt;="&amp;Z$6,'Invoices - Preopening'!$H$20:$H$299,"&lt;="&amp;Z$7,'Invoices - Preopening'!$C$20:$C$299,'Model - Preopening &amp; Fees'!$B104)</f>
        <v>0</v>
      </c>
      <c r="AA104" s="115">
        <f>SUMIFS('Invoices - Preopening'!$I$20:$I$299,'Invoices - Preopening'!$H$20:$H$299,"&gt;="&amp;AA$6,'Invoices - Preopening'!$H$20:$H$299,"&lt;="&amp;AA$7,'Invoices - Preopening'!$C$20:$C$299,'Model - Preopening &amp; Fees'!$B104)</f>
        <v>0</v>
      </c>
      <c r="AB104" s="115">
        <f>SUMIFS('Invoices - Preopening'!$I$20:$I$299,'Invoices - Preopening'!$H$20:$H$299,"&gt;="&amp;AB$6,'Invoices - Preopening'!$H$20:$H$299,"&lt;="&amp;AB$7,'Invoices - Preopening'!$C$20:$C$299,'Model - Preopening &amp; Fees'!$B104)</f>
        <v>0</v>
      </c>
      <c r="AC104" s="115">
        <f>SUMIFS('Invoices - Preopening'!$I$20:$I$299,'Invoices - Preopening'!$H$20:$H$299,"&gt;="&amp;AC$6,'Invoices - Preopening'!$H$20:$H$299,"&lt;="&amp;AC$7,'Invoices - Preopening'!$C$20:$C$299,'Model - Preopening &amp; Fees'!$B104)</f>
        <v>0</v>
      </c>
      <c r="AD104" s="9">
        <v>0</v>
      </c>
      <c r="AE104" s="9">
        <v>0</v>
      </c>
      <c r="AF104" s="9">
        <v>1600</v>
      </c>
      <c r="AG104" s="9">
        <v>3200</v>
      </c>
      <c r="AH104" s="9">
        <v>3200</v>
      </c>
      <c r="AI104" s="9">
        <v>3200</v>
      </c>
      <c r="AJ104" s="9">
        <v>3200</v>
      </c>
      <c r="AK104" s="9">
        <v>3200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T104" s="24">
        <f t="shared" si="89"/>
        <v>0</v>
      </c>
      <c r="AU104" s="24">
        <f t="shared" si="89"/>
        <v>0</v>
      </c>
      <c r="AV104" s="24">
        <f t="shared" si="89"/>
        <v>0</v>
      </c>
      <c r="AW104" s="24">
        <f t="shared" si="89"/>
        <v>0</v>
      </c>
      <c r="AX104" s="24">
        <f t="shared" si="89"/>
        <v>0</v>
      </c>
      <c r="AY104" s="1">
        <f t="shared" si="89"/>
        <v>0</v>
      </c>
      <c r="AZ104" s="1">
        <f t="shared" si="89"/>
        <v>-1600</v>
      </c>
      <c r="BA104" s="1">
        <f t="shared" si="89"/>
        <v>-9600</v>
      </c>
      <c r="BB104" s="1">
        <f t="shared" si="89"/>
        <v>-6400</v>
      </c>
      <c r="BC104" s="1">
        <f t="shared" si="89"/>
        <v>0</v>
      </c>
      <c r="BD104" s="1">
        <f t="shared" si="89"/>
        <v>0</v>
      </c>
      <c r="BF104" s="1">
        <f t="shared" si="94"/>
        <v>-17600</v>
      </c>
    </row>
    <row r="105" spans="1:59" x14ac:dyDescent="0.25">
      <c r="A105">
        <v>1</v>
      </c>
      <c r="B105" s="144" t="s">
        <v>164</v>
      </c>
      <c r="C105" s="21"/>
      <c r="D105" s="2" t="s">
        <v>160</v>
      </c>
      <c r="E105" s="2" t="s">
        <v>161</v>
      </c>
      <c r="F105" s="9">
        <f t="shared" si="91"/>
        <v>2700</v>
      </c>
      <c r="G105" s="59">
        <f t="shared" si="92"/>
        <v>0</v>
      </c>
      <c r="H105" s="59">
        <f t="shared" si="87"/>
        <v>2700</v>
      </c>
      <c r="J105" s="1">
        <f t="shared" si="93"/>
        <v>2700</v>
      </c>
      <c r="L105" s="115">
        <f>SUMIFS('Invoices - Preopening'!$I$20:$I$299,'Invoices - Preopening'!$H$20:$H$299,"&gt;="&amp;L$6,'Invoices - Preopening'!$H$20:$H$299,"&lt;="&amp;L$7,'Invoices - Preopening'!$C$20:$C$299,'Model - Preopening &amp; Fees'!$B105)</f>
        <v>0</v>
      </c>
      <c r="M105" s="115">
        <f>SUMIFS('Invoices - Preopening'!$I$20:$I$299,'Invoices - Preopening'!$H$20:$H$299,"&gt;="&amp;M$6,'Invoices - Preopening'!$H$20:$H$299,"&lt;="&amp;M$7,'Invoices - Preopening'!$C$20:$C$299,'Model - Preopening &amp; Fees'!$B105)</f>
        <v>0</v>
      </c>
      <c r="N105" s="115">
        <f>SUMIFS('Invoices - Preopening'!$I$20:$I$299,'Invoices - Preopening'!$H$20:$H$299,"&gt;="&amp;N$6,'Invoices - Preopening'!$H$20:$H$299,"&lt;="&amp;N$7,'Invoices - Preopening'!$C$20:$C$299,'Model - Preopening &amp; Fees'!$B105)</f>
        <v>0</v>
      </c>
      <c r="O105" s="115">
        <f>SUMIFS('Invoices - Preopening'!$I$20:$I$299,'Invoices - Preopening'!$H$20:$H$299,"&gt;="&amp;O$6,'Invoices - Preopening'!$H$20:$H$299,"&lt;="&amp;O$7,'Invoices - Preopening'!$C$20:$C$299,'Model - Preopening &amp; Fees'!$B105)</f>
        <v>0</v>
      </c>
      <c r="P105" s="115">
        <f>SUMIFS('Invoices - Preopening'!$I$20:$I$299,'Invoices - Preopening'!$H$20:$H$299,"&gt;="&amp;P$6,'Invoices - Preopening'!$H$20:$H$299,"&lt;="&amp;P$7,'Invoices - Preopening'!$C$20:$C$299,'Model - Preopening &amp; Fees'!$B105)</f>
        <v>0</v>
      </c>
      <c r="Q105" s="115">
        <f>SUMIFS('Invoices - Preopening'!$I$20:$I$299,'Invoices - Preopening'!$H$20:$H$299,"&gt;="&amp;Q$6,'Invoices - Preopening'!$H$20:$H$299,"&lt;="&amp;Q$7,'Invoices - Preopening'!$C$20:$C$299,'Model - Preopening &amp; Fees'!$B105)</f>
        <v>0</v>
      </c>
      <c r="R105" s="115">
        <f>SUMIFS('Invoices - Preopening'!$I$20:$I$299,'Invoices - Preopening'!$H$20:$H$299,"&gt;="&amp;R$6,'Invoices - Preopening'!$H$20:$H$299,"&lt;="&amp;R$7,'Invoices - Preopening'!$C$20:$C$299,'Model - Preopening &amp; Fees'!$B105)</f>
        <v>0</v>
      </c>
      <c r="S105" s="115">
        <f>SUMIFS('Invoices - Preopening'!$I$20:$I$299,'Invoices - Preopening'!$H$20:$H$299,"&gt;="&amp;S$6,'Invoices - Preopening'!$H$20:$H$299,"&lt;="&amp;S$7,'Invoices - Preopening'!$C$20:$C$299,'Model - Preopening &amp; Fees'!$B105)</f>
        <v>0</v>
      </c>
      <c r="T105" s="115">
        <f>SUMIFS('Invoices - Preopening'!$I$20:$I$299,'Invoices - Preopening'!$H$20:$H$299,"&gt;="&amp;T$6,'Invoices - Preopening'!$H$20:$H$299,"&lt;="&amp;T$7,'Invoices - Preopening'!$C$20:$C$299,'Model - Preopening &amp; Fees'!$B105)</f>
        <v>0</v>
      </c>
      <c r="U105" s="115">
        <f>SUMIFS('Invoices - Preopening'!$I$20:$I$299,'Invoices - Preopening'!$H$20:$H$299,"&gt;="&amp;U$6,'Invoices - Preopening'!$H$20:$H$299,"&lt;="&amp;U$7,'Invoices - Preopening'!$C$20:$C$299,'Model - Preopening &amp; Fees'!$B105)</f>
        <v>0</v>
      </c>
      <c r="V105" s="115">
        <f>SUMIFS('Invoices - Preopening'!$I$20:$I$299,'Invoices - Preopening'!$H$20:$H$299,"&gt;="&amp;V$6,'Invoices - Preopening'!$H$20:$H$299,"&lt;="&amp;V$7,'Invoices - Preopening'!$C$20:$C$299,'Model - Preopening &amp; Fees'!$B105)</f>
        <v>0</v>
      </c>
      <c r="W105" s="115">
        <f>SUMIFS('Invoices - Preopening'!$I$20:$I$299,'Invoices - Preopening'!$H$20:$H$299,"&gt;="&amp;W$6,'Invoices - Preopening'!$H$20:$H$299,"&lt;="&amp;W$7,'Invoices - Preopening'!$C$20:$C$299,'Model - Preopening &amp; Fees'!$B105)</f>
        <v>0</v>
      </c>
      <c r="X105" s="115">
        <f>SUMIFS('Invoices - Preopening'!$I$20:$I$299,'Invoices - Preopening'!$H$20:$H$299,"&gt;="&amp;X$6,'Invoices - Preopening'!$H$20:$H$299,"&lt;="&amp;X$7,'Invoices - Preopening'!$C$20:$C$299,'Model - Preopening &amp; Fees'!$B105)</f>
        <v>0</v>
      </c>
      <c r="Y105" s="115">
        <f>SUMIFS('Invoices - Preopening'!$I$20:$I$299,'Invoices - Preopening'!$H$20:$H$299,"&gt;="&amp;Y$6,'Invoices - Preopening'!$H$20:$H$299,"&lt;="&amp;Y$7,'Invoices - Preopening'!$C$20:$C$299,'Model - Preopening &amp; Fees'!$B105)</f>
        <v>0</v>
      </c>
      <c r="Z105" s="115">
        <f>SUMIFS('Invoices - Preopening'!$I$20:$I$299,'Invoices - Preopening'!$H$20:$H$299,"&gt;="&amp;Z$6,'Invoices - Preopening'!$H$20:$H$299,"&lt;="&amp;Z$7,'Invoices - Preopening'!$C$20:$C$299,'Model - Preopening &amp; Fees'!$B105)</f>
        <v>0</v>
      </c>
      <c r="AA105" s="115">
        <f>SUMIFS('Invoices - Preopening'!$I$20:$I$299,'Invoices - Preopening'!$H$20:$H$299,"&gt;="&amp;AA$6,'Invoices - Preopening'!$H$20:$H$299,"&lt;="&amp;AA$7,'Invoices - Preopening'!$C$20:$C$299,'Model - Preopening &amp; Fees'!$B105)</f>
        <v>0</v>
      </c>
      <c r="AB105" s="115">
        <f>SUMIFS('Invoices - Preopening'!$I$20:$I$299,'Invoices - Preopening'!$H$20:$H$299,"&gt;="&amp;AB$6,'Invoices - Preopening'!$H$20:$H$299,"&lt;="&amp;AB$7,'Invoices - Preopening'!$C$20:$C$299,'Model - Preopening &amp; Fees'!$B105)</f>
        <v>0</v>
      </c>
      <c r="AC105" s="115">
        <f>SUMIFS('Invoices - Preopening'!$I$20:$I$299,'Invoices - Preopening'!$H$20:$H$299,"&gt;="&amp;AC$6,'Invoices - Preopening'!$H$20:$H$299,"&lt;="&amp;AC$7,'Invoices - Preopening'!$C$20:$C$299,'Model - Preopening &amp; Fees'!$B105)</f>
        <v>0</v>
      </c>
      <c r="AD105" s="9">
        <v>0</v>
      </c>
      <c r="AE105" s="9">
        <v>0</v>
      </c>
      <c r="AF105" s="9">
        <v>450</v>
      </c>
      <c r="AG105" s="9">
        <v>450</v>
      </c>
      <c r="AH105" s="9">
        <v>450</v>
      </c>
      <c r="AI105" s="9">
        <v>450</v>
      </c>
      <c r="AJ105" s="9">
        <v>450</v>
      </c>
      <c r="AK105" s="9">
        <v>450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T105" s="24">
        <f t="shared" si="89"/>
        <v>0</v>
      </c>
      <c r="AU105" s="24">
        <f t="shared" si="89"/>
        <v>0</v>
      </c>
      <c r="AV105" s="24">
        <f t="shared" si="89"/>
        <v>0</v>
      </c>
      <c r="AW105" s="24">
        <f t="shared" si="89"/>
        <v>0</v>
      </c>
      <c r="AX105" s="24">
        <f t="shared" si="89"/>
        <v>0</v>
      </c>
      <c r="AY105" s="1">
        <f t="shared" si="89"/>
        <v>0</v>
      </c>
      <c r="AZ105" s="1">
        <f t="shared" si="89"/>
        <v>-450</v>
      </c>
      <c r="BA105" s="1">
        <f t="shared" si="89"/>
        <v>-1350</v>
      </c>
      <c r="BB105" s="1">
        <f t="shared" si="89"/>
        <v>-900</v>
      </c>
      <c r="BC105" s="1">
        <f t="shared" si="89"/>
        <v>0</v>
      </c>
      <c r="BD105" s="1">
        <f t="shared" si="89"/>
        <v>0</v>
      </c>
      <c r="BF105" s="1">
        <f t="shared" si="94"/>
        <v>-2700</v>
      </c>
    </row>
    <row r="106" spans="1:59" x14ac:dyDescent="0.25">
      <c r="A106">
        <v>1</v>
      </c>
      <c r="B106" s="144" t="s">
        <v>165</v>
      </c>
      <c r="C106" s="21"/>
      <c r="D106" s="2" t="s">
        <v>160</v>
      </c>
      <c r="E106" s="2" t="s">
        <v>161</v>
      </c>
      <c r="F106" s="9">
        <f t="shared" si="91"/>
        <v>400</v>
      </c>
      <c r="G106" s="59">
        <f t="shared" si="92"/>
        <v>0</v>
      </c>
      <c r="H106" s="59">
        <f t="shared" si="87"/>
        <v>400</v>
      </c>
      <c r="J106" s="1">
        <f t="shared" ref="J106:J109" si="95">SUM(L106:AR106)</f>
        <v>400</v>
      </c>
      <c r="L106" s="115">
        <f>SUMIFS('Invoices - Preopening'!$I$20:$I$299,'Invoices - Preopening'!$H$20:$H$299,"&gt;="&amp;L$6,'Invoices - Preopening'!$H$20:$H$299,"&lt;="&amp;L$7,'Invoices - Preopening'!$C$20:$C$299,'Model - Preopening &amp; Fees'!$B106)</f>
        <v>0</v>
      </c>
      <c r="M106" s="115">
        <f>SUMIFS('Invoices - Preopening'!$I$20:$I$299,'Invoices - Preopening'!$H$20:$H$299,"&gt;="&amp;M$6,'Invoices - Preopening'!$H$20:$H$299,"&lt;="&amp;M$7,'Invoices - Preopening'!$C$20:$C$299,'Model - Preopening &amp; Fees'!$B106)</f>
        <v>0</v>
      </c>
      <c r="N106" s="115">
        <f>SUMIFS('Invoices - Preopening'!$I$20:$I$299,'Invoices - Preopening'!$H$20:$H$299,"&gt;="&amp;N$6,'Invoices - Preopening'!$H$20:$H$299,"&lt;="&amp;N$7,'Invoices - Preopening'!$C$20:$C$299,'Model - Preopening &amp; Fees'!$B106)</f>
        <v>0</v>
      </c>
      <c r="O106" s="115">
        <f>SUMIFS('Invoices - Preopening'!$I$20:$I$299,'Invoices - Preopening'!$H$20:$H$299,"&gt;="&amp;O$6,'Invoices - Preopening'!$H$20:$H$299,"&lt;="&amp;O$7,'Invoices - Preopening'!$C$20:$C$299,'Model - Preopening &amp; Fees'!$B106)</f>
        <v>0</v>
      </c>
      <c r="P106" s="115">
        <f>SUMIFS('Invoices - Preopening'!$I$20:$I$299,'Invoices - Preopening'!$H$20:$H$299,"&gt;="&amp;P$6,'Invoices - Preopening'!$H$20:$H$299,"&lt;="&amp;P$7,'Invoices - Preopening'!$C$20:$C$299,'Model - Preopening &amp; Fees'!$B106)</f>
        <v>0</v>
      </c>
      <c r="Q106" s="115">
        <f>SUMIFS('Invoices - Preopening'!$I$20:$I$299,'Invoices - Preopening'!$H$20:$H$299,"&gt;="&amp;Q$6,'Invoices - Preopening'!$H$20:$H$299,"&lt;="&amp;Q$7,'Invoices - Preopening'!$C$20:$C$299,'Model - Preopening &amp; Fees'!$B106)</f>
        <v>0</v>
      </c>
      <c r="R106" s="115">
        <f>SUMIFS('Invoices - Preopening'!$I$20:$I$299,'Invoices - Preopening'!$H$20:$H$299,"&gt;="&amp;R$6,'Invoices - Preopening'!$H$20:$H$299,"&lt;="&amp;R$7,'Invoices - Preopening'!$C$20:$C$299,'Model - Preopening &amp; Fees'!$B106)</f>
        <v>0</v>
      </c>
      <c r="S106" s="115">
        <f>SUMIFS('Invoices - Preopening'!$I$20:$I$299,'Invoices - Preopening'!$H$20:$H$299,"&gt;="&amp;S$6,'Invoices - Preopening'!$H$20:$H$299,"&lt;="&amp;S$7,'Invoices - Preopening'!$C$20:$C$299,'Model - Preopening &amp; Fees'!$B106)</f>
        <v>0</v>
      </c>
      <c r="T106" s="115">
        <f>SUMIFS('Invoices - Preopening'!$I$20:$I$299,'Invoices - Preopening'!$H$20:$H$299,"&gt;="&amp;T$6,'Invoices - Preopening'!$H$20:$H$299,"&lt;="&amp;T$7,'Invoices - Preopening'!$C$20:$C$299,'Model - Preopening &amp; Fees'!$B106)</f>
        <v>0</v>
      </c>
      <c r="U106" s="115">
        <f>SUMIFS('Invoices - Preopening'!$I$20:$I$299,'Invoices - Preopening'!$H$20:$H$299,"&gt;="&amp;U$6,'Invoices - Preopening'!$H$20:$H$299,"&lt;="&amp;U$7,'Invoices - Preopening'!$C$20:$C$299,'Model - Preopening &amp; Fees'!$B106)</f>
        <v>0</v>
      </c>
      <c r="V106" s="115">
        <f>SUMIFS('Invoices - Preopening'!$I$20:$I$299,'Invoices - Preopening'!$H$20:$H$299,"&gt;="&amp;V$6,'Invoices - Preopening'!$H$20:$H$299,"&lt;="&amp;V$7,'Invoices - Preopening'!$C$20:$C$299,'Model - Preopening &amp; Fees'!$B106)</f>
        <v>0</v>
      </c>
      <c r="W106" s="115">
        <f>SUMIFS('Invoices - Preopening'!$I$20:$I$299,'Invoices - Preopening'!$H$20:$H$299,"&gt;="&amp;W$6,'Invoices - Preopening'!$H$20:$H$299,"&lt;="&amp;W$7,'Invoices - Preopening'!$C$20:$C$299,'Model - Preopening &amp; Fees'!$B106)</f>
        <v>0</v>
      </c>
      <c r="X106" s="115">
        <f>SUMIFS('Invoices - Preopening'!$I$20:$I$299,'Invoices - Preopening'!$H$20:$H$299,"&gt;="&amp;X$6,'Invoices - Preopening'!$H$20:$H$299,"&lt;="&amp;X$7,'Invoices - Preopening'!$C$20:$C$299,'Model - Preopening &amp; Fees'!$B106)</f>
        <v>0</v>
      </c>
      <c r="Y106" s="115">
        <f>SUMIFS('Invoices - Preopening'!$I$20:$I$299,'Invoices - Preopening'!$H$20:$H$299,"&gt;="&amp;Y$6,'Invoices - Preopening'!$H$20:$H$299,"&lt;="&amp;Y$7,'Invoices - Preopening'!$C$20:$C$299,'Model - Preopening &amp; Fees'!$B106)</f>
        <v>0</v>
      </c>
      <c r="Z106" s="115">
        <f>SUMIFS('Invoices - Preopening'!$I$20:$I$299,'Invoices - Preopening'!$H$20:$H$299,"&gt;="&amp;Z$6,'Invoices - Preopening'!$H$20:$H$299,"&lt;="&amp;Z$7,'Invoices - Preopening'!$C$20:$C$299,'Model - Preopening &amp; Fees'!$B106)</f>
        <v>0</v>
      </c>
      <c r="AA106" s="115">
        <f>SUMIFS('Invoices - Preopening'!$I$20:$I$299,'Invoices - Preopening'!$H$20:$H$299,"&gt;="&amp;AA$6,'Invoices - Preopening'!$H$20:$H$299,"&lt;="&amp;AA$7,'Invoices - Preopening'!$C$20:$C$299,'Model - Preopening &amp; Fees'!$B106)</f>
        <v>0</v>
      </c>
      <c r="AB106" s="115">
        <f>SUMIFS('Invoices - Preopening'!$I$20:$I$299,'Invoices - Preopening'!$H$20:$H$299,"&gt;="&amp;AB$6,'Invoices - Preopening'!$H$20:$H$299,"&lt;="&amp;AB$7,'Invoices - Preopening'!$C$20:$C$299,'Model - Preopening &amp; Fees'!$B106)</f>
        <v>0</v>
      </c>
      <c r="AC106" s="115">
        <f>SUMIFS('Invoices - Preopening'!$I$20:$I$299,'Invoices - Preopening'!$H$20:$H$299,"&gt;="&amp;AC$6,'Invoices - Preopening'!$H$20:$H$299,"&lt;="&amp;AC$7,'Invoices - Preopening'!$C$20:$C$299,'Model - Preopening &amp; Fees'!$B106)</f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200</v>
      </c>
      <c r="AK106" s="9">
        <v>200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T106" s="24">
        <f t="shared" si="89"/>
        <v>0</v>
      </c>
      <c r="AU106" s="24">
        <f t="shared" si="89"/>
        <v>0</v>
      </c>
      <c r="AV106" s="24">
        <f t="shared" si="89"/>
        <v>0</v>
      </c>
      <c r="AW106" s="24">
        <f t="shared" si="89"/>
        <v>0</v>
      </c>
      <c r="AX106" s="24">
        <f t="shared" si="89"/>
        <v>0</v>
      </c>
      <c r="AY106" s="1">
        <f t="shared" si="89"/>
        <v>0</v>
      </c>
      <c r="AZ106" s="1">
        <f t="shared" si="89"/>
        <v>0</v>
      </c>
      <c r="BA106" s="1">
        <f t="shared" si="89"/>
        <v>0</v>
      </c>
      <c r="BB106" s="1">
        <f t="shared" si="89"/>
        <v>-400</v>
      </c>
      <c r="BC106" s="1">
        <f t="shared" si="89"/>
        <v>0</v>
      </c>
      <c r="BD106" s="1">
        <f t="shared" si="89"/>
        <v>0</v>
      </c>
      <c r="BF106" s="1">
        <f t="shared" ref="BF106:BF109" si="96">SUM(AT106:BD106)</f>
        <v>-400</v>
      </c>
    </row>
    <row r="107" spans="1:59" x14ac:dyDescent="0.25">
      <c r="A107">
        <v>1</v>
      </c>
      <c r="B107" s="21" t="s">
        <v>166</v>
      </c>
      <c r="C107" s="21"/>
      <c r="D107" s="2" t="s">
        <v>160</v>
      </c>
      <c r="E107" s="2" t="s">
        <v>161</v>
      </c>
      <c r="F107" s="9">
        <f t="shared" si="91"/>
        <v>300</v>
      </c>
      <c r="G107" s="59">
        <f t="shared" si="92"/>
        <v>0</v>
      </c>
      <c r="H107" s="59">
        <f t="shared" si="87"/>
        <v>300</v>
      </c>
      <c r="J107" s="1">
        <f t="shared" si="95"/>
        <v>300</v>
      </c>
      <c r="L107" s="115">
        <f>SUMIFS('Invoices - Preopening'!$I$20:$I$299,'Invoices - Preopening'!$H$20:$H$299,"&gt;="&amp;L$6,'Invoices - Preopening'!$H$20:$H$299,"&lt;="&amp;L$7,'Invoices - Preopening'!$C$20:$C$299,'Model - Preopening &amp; Fees'!$B107)</f>
        <v>0</v>
      </c>
      <c r="M107" s="115">
        <f>SUMIFS('Invoices - Preopening'!$I$20:$I$299,'Invoices - Preopening'!$H$20:$H$299,"&gt;="&amp;M$6,'Invoices - Preopening'!$H$20:$H$299,"&lt;="&amp;M$7,'Invoices - Preopening'!$C$20:$C$299,'Model - Preopening &amp; Fees'!$B107)</f>
        <v>0</v>
      </c>
      <c r="N107" s="115">
        <f>SUMIFS('Invoices - Preopening'!$I$20:$I$299,'Invoices - Preopening'!$H$20:$H$299,"&gt;="&amp;N$6,'Invoices - Preopening'!$H$20:$H$299,"&lt;="&amp;N$7,'Invoices - Preopening'!$C$20:$C$299,'Model - Preopening &amp; Fees'!$B107)</f>
        <v>0</v>
      </c>
      <c r="O107" s="115">
        <f>SUMIFS('Invoices - Preopening'!$I$20:$I$299,'Invoices - Preopening'!$H$20:$H$299,"&gt;="&amp;O$6,'Invoices - Preopening'!$H$20:$H$299,"&lt;="&amp;O$7,'Invoices - Preopening'!$C$20:$C$299,'Model - Preopening &amp; Fees'!$B107)</f>
        <v>0</v>
      </c>
      <c r="P107" s="115">
        <f>SUMIFS('Invoices - Preopening'!$I$20:$I$299,'Invoices - Preopening'!$H$20:$H$299,"&gt;="&amp;P$6,'Invoices - Preopening'!$H$20:$H$299,"&lt;="&amp;P$7,'Invoices - Preopening'!$C$20:$C$299,'Model - Preopening &amp; Fees'!$B107)</f>
        <v>0</v>
      </c>
      <c r="Q107" s="115">
        <f>SUMIFS('Invoices - Preopening'!$I$20:$I$299,'Invoices - Preopening'!$H$20:$H$299,"&gt;="&amp;Q$6,'Invoices - Preopening'!$H$20:$H$299,"&lt;="&amp;Q$7,'Invoices - Preopening'!$C$20:$C$299,'Model - Preopening &amp; Fees'!$B107)</f>
        <v>0</v>
      </c>
      <c r="R107" s="115">
        <f>SUMIFS('Invoices - Preopening'!$I$20:$I$299,'Invoices - Preopening'!$H$20:$H$299,"&gt;="&amp;R$6,'Invoices - Preopening'!$H$20:$H$299,"&lt;="&amp;R$7,'Invoices - Preopening'!$C$20:$C$299,'Model - Preopening &amp; Fees'!$B107)</f>
        <v>0</v>
      </c>
      <c r="S107" s="115">
        <f>SUMIFS('Invoices - Preopening'!$I$20:$I$299,'Invoices - Preopening'!$H$20:$H$299,"&gt;="&amp;S$6,'Invoices - Preopening'!$H$20:$H$299,"&lt;="&amp;S$7,'Invoices - Preopening'!$C$20:$C$299,'Model - Preopening &amp; Fees'!$B107)</f>
        <v>0</v>
      </c>
      <c r="T107" s="115">
        <f>SUMIFS('Invoices - Preopening'!$I$20:$I$299,'Invoices - Preopening'!$H$20:$H$299,"&gt;="&amp;T$6,'Invoices - Preopening'!$H$20:$H$299,"&lt;="&amp;T$7,'Invoices - Preopening'!$C$20:$C$299,'Model - Preopening &amp; Fees'!$B107)</f>
        <v>0</v>
      </c>
      <c r="U107" s="115">
        <f>SUMIFS('Invoices - Preopening'!$I$20:$I$299,'Invoices - Preopening'!$H$20:$H$299,"&gt;="&amp;U$6,'Invoices - Preopening'!$H$20:$H$299,"&lt;="&amp;U$7,'Invoices - Preopening'!$C$20:$C$299,'Model - Preopening &amp; Fees'!$B107)</f>
        <v>0</v>
      </c>
      <c r="V107" s="115">
        <f>SUMIFS('Invoices - Preopening'!$I$20:$I$299,'Invoices - Preopening'!$H$20:$H$299,"&gt;="&amp;V$6,'Invoices - Preopening'!$H$20:$H$299,"&lt;="&amp;V$7,'Invoices - Preopening'!$C$20:$C$299,'Model - Preopening &amp; Fees'!$B107)</f>
        <v>0</v>
      </c>
      <c r="W107" s="115">
        <f>SUMIFS('Invoices - Preopening'!$I$20:$I$299,'Invoices - Preopening'!$H$20:$H$299,"&gt;="&amp;W$6,'Invoices - Preopening'!$H$20:$H$299,"&lt;="&amp;W$7,'Invoices - Preopening'!$C$20:$C$299,'Model - Preopening &amp; Fees'!$B107)</f>
        <v>0</v>
      </c>
      <c r="X107" s="115">
        <f>SUMIFS('Invoices - Preopening'!$I$20:$I$299,'Invoices - Preopening'!$H$20:$H$299,"&gt;="&amp;X$6,'Invoices - Preopening'!$H$20:$H$299,"&lt;="&amp;X$7,'Invoices - Preopening'!$C$20:$C$299,'Model - Preopening &amp; Fees'!$B107)</f>
        <v>0</v>
      </c>
      <c r="Y107" s="115">
        <f>SUMIFS('Invoices - Preopening'!$I$20:$I$299,'Invoices - Preopening'!$H$20:$H$299,"&gt;="&amp;Y$6,'Invoices - Preopening'!$H$20:$H$299,"&lt;="&amp;Y$7,'Invoices - Preopening'!$C$20:$C$299,'Model - Preopening &amp; Fees'!$B107)</f>
        <v>0</v>
      </c>
      <c r="Z107" s="115">
        <f>SUMIFS('Invoices - Preopening'!$I$20:$I$299,'Invoices - Preopening'!$H$20:$H$299,"&gt;="&amp;Z$6,'Invoices - Preopening'!$H$20:$H$299,"&lt;="&amp;Z$7,'Invoices - Preopening'!$C$20:$C$299,'Model - Preopening &amp; Fees'!$B107)</f>
        <v>0</v>
      </c>
      <c r="AA107" s="115">
        <f>SUMIFS('Invoices - Preopening'!$I$20:$I$299,'Invoices - Preopening'!$H$20:$H$299,"&gt;="&amp;AA$6,'Invoices - Preopening'!$H$20:$H$299,"&lt;="&amp;AA$7,'Invoices - Preopening'!$C$20:$C$299,'Model - Preopening &amp; Fees'!$B107)</f>
        <v>0</v>
      </c>
      <c r="AB107" s="115">
        <f>SUMIFS('Invoices - Preopening'!$I$20:$I$299,'Invoices - Preopening'!$H$20:$H$299,"&gt;="&amp;AB$6,'Invoices - Preopening'!$H$20:$H$299,"&lt;="&amp;AB$7,'Invoices - Preopening'!$C$20:$C$299,'Model - Preopening &amp; Fees'!$B107)</f>
        <v>0</v>
      </c>
      <c r="AC107" s="115">
        <f>SUMIFS('Invoices - Preopening'!$I$20:$I$299,'Invoices - Preopening'!$H$20:$H$299,"&gt;="&amp;AC$6,'Invoices - Preopening'!$H$20:$H$299,"&lt;="&amp;AC$7,'Invoices - Preopening'!$C$20:$C$299,'Model - Preopening &amp; Fees'!$B107)</f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150</v>
      </c>
      <c r="AK107" s="9">
        <v>150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T107" s="24">
        <f t="shared" si="89"/>
        <v>0</v>
      </c>
      <c r="AU107" s="24">
        <f t="shared" si="89"/>
        <v>0</v>
      </c>
      <c r="AV107" s="24">
        <f t="shared" si="89"/>
        <v>0</v>
      </c>
      <c r="AW107" s="24">
        <f t="shared" si="89"/>
        <v>0</v>
      </c>
      <c r="AX107" s="24">
        <f t="shared" si="89"/>
        <v>0</v>
      </c>
      <c r="AY107" s="1">
        <f t="shared" si="89"/>
        <v>0</v>
      </c>
      <c r="AZ107" s="1">
        <f t="shared" si="89"/>
        <v>0</v>
      </c>
      <c r="BA107" s="1">
        <f t="shared" si="89"/>
        <v>0</v>
      </c>
      <c r="BB107" s="1">
        <f t="shared" si="89"/>
        <v>-300</v>
      </c>
      <c r="BC107" s="1">
        <f t="shared" si="89"/>
        <v>0</v>
      </c>
      <c r="BD107" s="1">
        <f t="shared" si="89"/>
        <v>0</v>
      </c>
      <c r="BF107" s="1">
        <f t="shared" si="96"/>
        <v>-300</v>
      </c>
    </row>
    <row r="108" spans="1:59" x14ac:dyDescent="0.25">
      <c r="A108">
        <v>1</v>
      </c>
      <c r="B108" s="21" t="s">
        <v>271</v>
      </c>
      <c r="C108" s="21"/>
      <c r="D108" s="2" t="s">
        <v>160</v>
      </c>
      <c r="E108" s="2" t="s">
        <v>161</v>
      </c>
      <c r="F108" s="9">
        <f t="shared" si="91"/>
        <v>6300</v>
      </c>
      <c r="G108" s="59">
        <f>SUMIFS($L108:$AR108,$L$7:$AR$7,"&lt;="&amp;$J$4)</f>
        <v>0</v>
      </c>
      <c r="H108" s="59">
        <f t="shared" si="87"/>
        <v>6300</v>
      </c>
      <c r="J108" s="1">
        <f>SUM(L108:AR108)</f>
        <v>6300</v>
      </c>
      <c r="L108" s="115">
        <f>SUMIFS('Invoices - Preopening'!$I$20:$I$299,'Invoices - Preopening'!$H$20:$H$299,"&gt;="&amp;L$6,'Invoices - Preopening'!$H$20:$H$299,"&lt;="&amp;L$7,'Invoices - Preopening'!$C$20:$C$299,'Model - Preopening &amp; Fees'!$B108)</f>
        <v>0</v>
      </c>
      <c r="M108" s="115">
        <f>SUMIFS('Invoices - Preopening'!$I$20:$I$299,'Invoices - Preopening'!$H$20:$H$299,"&gt;="&amp;M$6,'Invoices - Preopening'!$H$20:$H$299,"&lt;="&amp;M$7,'Invoices - Preopening'!$C$20:$C$299,'Model - Preopening &amp; Fees'!$B108)</f>
        <v>0</v>
      </c>
      <c r="N108" s="115">
        <f>SUMIFS('Invoices - Preopening'!$I$20:$I$299,'Invoices - Preopening'!$H$20:$H$299,"&gt;="&amp;N$6,'Invoices - Preopening'!$H$20:$H$299,"&lt;="&amp;N$7,'Invoices - Preopening'!$C$20:$C$299,'Model - Preopening &amp; Fees'!$B108)</f>
        <v>0</v>
      </c>
      <c r="O108" s="115">
        <f>SUMIFS('Invoices - Preopening'!$I$20:$I$299,'Invoices - Preopening'!$H$20:$H$299,"&gt;="&amp;O$6,'Invoices - Preopening'!$H$20:$H$299,"&lt;="&amp;O$7,'Invoices - Preopening'!$C$20:$C$299,'Model - Preopening &amp; Fees'!$B108)</f>
        <v>0</v>
      </c>
      <c r="P108" s="115">
        <f>SUMIFS('Invoices - Preopening'!$I$20:$I$299,'Invoices - Preopening'!$H$20:$H$299,"&gt;="&amp;P$6,'Invoices - Preopening'!$H$20:$H$299,"&lt;="&amp;P$7,'Invoices - Preopening'!$C$20:$C$299,'Model - Preopening &amp; Fees'!$B108)</f>
        <v>0</v>
      </c>
      <c r="Q108" s="115">
        <f>SUMIFS('Invoices - Preopening'!$I$20:$I$299,'Invoices - Preopening'!$H$20:$H$299,"&gt;="&amp;Q$6,'Invoices - Preopening'!$H$20:$H$299,"&lt;="&amp;Q$7,'Invoices - Preopening'!$C$20:$C$299,'Model - Preopening &amp; Fees'!$B108)</f>
        <v>0</v>
      </c>
      <c r="R108" s="115">
        <f>SUMIFS('Invoices - Preopening'!$I$20:$I$299,'Invoices - Preopening'!$H$20:$H$299,"&gt;="&amp;R$6,'Invoices - Preopening'!$H$20:$H$299,"&lt;="&amp;R$7,'Invoices - Preopening'!$C$20:$C$299,'Model - Preopening &amp; Fees'!$B108)</f>
        <v>0</v>
      </c>
      <c r="S108" s="115">
        <f>SUMIFS('Invoices - Preopening'!$I$20:$I$299,'Invoices - Preopening'!$H$20:$H$299,"&gt;="&amp;S$6,'Invoices - Preopening'!$H$20:$H$299,"&lt;="&amp;S$7,'Invoices - Preopening'!$C$20:$C$299,'Model - Preopening &amp; Fees'!$B108)</f>
        <v>0</v>
      </c>
      <c r="T108" s="115">
        <f>SUMIFS('Invoices - Preopening'!$I$20:$I$299,'Invoices - Preopening'!$H$20:$H$299,"&gt;="&amp;T$6,'Invoices - Preopening'!$H$20:$H$299,"&lt;="&amp;T$7,'Invoices - Preopening'!$C$20:$C$299,'Model - Preopening &amp; Fees'!$B108)</f>
        <v>0</v>
      </c>
      <c r="U108" s="115">
        <f>SUMIFS('Invoices - Preopening'!$I$20:$I$299,'Invoices - Preopening'!$H$20:$H$299,"&gt;="&amp;U$6,'Invoices - Preopening'!$H$20:$H$299,"&lt;="&amp;U$7,'Invoices - Preopening'!$C$20:$C$299,'Model - Preopening &amp; Fees'!$B108)</f>
        <v>0</v>
      </c>
      <c r="V108" s="115">
        <f>SUMIFS('Invoices - Preopening'!$I$20:$I$299,'Invoices - Preopening'!$H$20:$H$299,"&gt;="&amp;V$6,'Invoices - Preopening'!$H$20:$H$299,"&lt;="&amp;V$7,'Invoices - Preopening'!$C$20:$C$299,'Model - Preopening &amp; Fees'!$B108)</f>
        <v>0</v>
      </c>
      <c r="W108" s="115">
        <f>SUMIFS('Invoices - Preopening'!$I$20:$I$299,'Invoices - Preopening'!$H$20:$H$299,"&gt;="&amp;W$6,'Invoices - Preopening'!$H$20:$H$299,"&lt;="&amp;W$7,'Invoices - Preopening'!$C$20:$C$299,'Model - Preopening &amp; Fees'!$B108)</f>
        <v>0</v>
      </c>
      <c r="X108" s="115">
        <f>SUMIFS('Invoices - Preopening'!$I$20:$I$299,'Invoices - Preopening'!$H$20:$H$299,"&gt;="&amp;X$6,'Invoices - Preopening'!$H$20:$H$299,"&lt;="&amp;X$7,'Invoices - Preopening'!$C$20:$C$299,'Model - Preopening &amp; Fees'!$B108)</f>
        <v>0</v>
      </c>
      <c r="Y108" s="115">
        <f>SUMIFS('Invoices - Preopening'!$I$20:$I$299,'Invoices - Preopening'!$H$20:$H$299,"&gt;="&amp;Y$6,'Invoices - Preopening'!$H$20:$H$299,"&lt;="&amp;Y$7,'Invoices - Preopening'!$C$20:$C$299,'Model - Preopening &amp; Fees'!$B108)</f>
        <v>0</v>
      </c>
      <c r="Z108" s="115">
        <f>SUMIFS('Invoices - Preopening'!$I$20:$I$299,'Invoices - Preopening'!$H$20:$H$299,"&gt;="&amp;Z$6,'Invoices - Preopening'!$H$20:$H$299,"&lt;="&amp;Z$7,'Invoices - Preopening'!$C$20:$C$299,'Model - Preopening &amp; Fees'!$B108)</f>
        <v>0</v>
      </c>
      <c r="AA108" s="115">
        <f>SUMIFS('Invoices - Preopening'!$I$20:$I$299,'Invoices - Preopening'!$H$20:$H$299,"&gt;="&amp;AA$6,'Invoices - Preopening'!$H$20:$H$299,"&lt;="&amp;AA$7,'Invoices - Preopening'!$C$20:$C$299,'Model - Preopening &amp; Fees'!$B108)</f>
        <v>0</v>
      </c>
      <c r="AB108" s="115">
        <f>SUMIFS('Invoices - Preopening'!$I$20:$I$299,'Invoices - Preopening'!$H$20:$H$299,"&gt;="&amp;AB$6,'Invoices - Preopening'!$H$20:$H$299,"&lt;="&amp;AB$7,'Invoices - Preopening'!$C$20:$C$299,'Model - Preopening &amp; Fees'!$B108)</f>
        <v>0</v>
      </c>
      <c r="AC108" s="115">
        <f>SUMIFS('Invoices - Preopening'!$I$20:$I$299,'Invoices - Preopening'!$H$20:$H$299,"&gt;="&amp;AC$6,'Invoices - Preopening'!$H$20:$H$299,"&lt;="&amp;AC$7,'Invoices - Preopening'!$C$20:$C$299,'Model - Preopening &amp; Fees'!$B108)</f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2100</v>
      </c>
      <c r="AJ108" s="9">
        <v>2100</v>
      </c>
      <c r="AK108" s="9">
        <v>2100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T108" s="24">
        <f t="shared" ref="AT108:BD108" si="97">-SUMIFS($L108:$AR108,$L$5:$AR$5,AT$5)</f>
        <v>0</v>
      </c>
      <c r="AU108" s="24">
        <f t="shared" si="97"/>
        <v>0</v>
      </c>
      <c r="AV108" s="24">
        <f t="shared" si="97"/>
        <v>0</v>
      </c>
      <c r="AW108" s="24">
        <f t="shared" si="97"/>
        <v>0</v>
      </c>
      <c r="AX108" s="24">
        <f t="shared" si="97"/>
        <v>0</v>
      </c>
      <c r="AY108" s="1">
        <f t="shared" si="97"/>
        <v>0</v>
      </c>
      <c r="AZ108" s="1">
        <f t="shared" si="97"/>
        <v>0</v>
      </c>
      <c r="BA108" s="1">
        <f t="shared" si="97"/>
        <v>-2100</v>
      </c>
      <c r="BB108" s="1">
        <f t="shared" si="97"/>
        <v>-4200</v>
      </c>
      <c r="BC108" s="1">
        <f t="shared" si="97"/>
        <v>0</v>
      </c>
      <c r="BD108" s="1">
        <f t="shared" si="97"/>
        <v>0</v>
      </c>
      <c r="BF108" s="1">
        <f>SUM(AT108:BD108)</f>
        <v>-6300</v>
      </c>
    </row>
    <row r="109" spans="1:59" x14ac:dyDescent="0.25">
      <c r="A109">
        <v>1</v>
      </c>
      <c r="B109" s="145" t="s">
        <v>272</v>
      </c>
      <c r="C109" s="22"/>
      <c r="D109" s="54" t="s">
        <v>160</v>
      </c>
      <c r="E109" s="54" t="s">
        <v>161</v>
      </c>
      <c r="F109" s="55">
        <f t="shared" si="91"/>
        <v>510</v>
      </c>
      <c r="G109" s="60">
        <f t="shared" si="92"/>
        <v>0</v>
      </c>
      <c r="H109" s="60">
        <f t="shared" si="87"/>
        <v>510</v>
      </c>
      <c r="J109" s="18">
        <f t="shared" si="95"/>
        <v>510</v>
      </c>
      <c r="L109" s="116">
        <f>SUMIFS('Invoices - Preopening'!$I$20:$I$299,'Invoices - Preopening'!$H$20:$H$299,"&gt;="&amp;L$6,'Invoices - Preopening'!$H$20:$H$299,"&lt;="&amp;L$7,'Invoices - Preopening'!$C$20:$C$299,'Model - Preopening &amp; Fees'!$B109)</f>
        <v>0</v>
      </c>
      <c r="M109" s="116">
        <f>SUMIFS('Invoices - Preopening'!$I$20:$I$299,'Invoices - Preopening'!$H$20:$H$299,"&gt;="&amp;M$6,'Invoices - Preopening'!$H$20:$H$299,"&lt;="&amp;M$7,'Invoices - Preopening'!$C$20:$C$299,'Model - Preopening &amp; Fees'!$B109)</f>
        <v>0</v>
      </c>
      <c r="N109" s="116">
        <f>SUMIFS('Invoices - Preopening'!$I$20:$I$299,'Invoices - Preopening'!$H$20:$H$299,"&gt;="&amp;N$6,'Invoices - Preopening'!$H$20:$H$299,"&lt;="&amp;N$7,'Invoices - Preopening'!$C$20:$C$299,'Model - Preopening &amp; Fees'!$B109)</f>
        <v>0</v>
      </c>
      <c r="O109" s="116">
        <f>SUMIFS('Invoices - Preopening'!$I$20:$I$299,'Invoices - Preopening'!$H$20:$H$299,"&gt;="&amp;O$6,'Invoices - Preopening'!$H$20:$H$299,"&lt;="&amp;O$7,'Invoices - Preopening'!$C$20:$C$299,'Model - Preopening &amp; Fees'!$B109)</f>
        <v>0</v>
      </c>
      <c r="P109" s="116">
        <f>SUMIFS('Invoices - Preopening'!$I$20:$I$299,'Invoices - Preopening'!$H$20:$H$299,"&gt;="&amp;P$6,'Invoices - Preopening'!$H$20:$H$299,"&lt;="&amp;P$7,'Invoices - Preopening'!$C$20:$C$299,'Model - Preopening &amp; Fees'!$B109)</f>
        <v>0</v>
      </c>
      <c r="Q109" s="116">
        <f>SUMIFS('Invoices - Preopening'!$I$20:$I$299,'Invoices - Preopening'!$H$20:$H$299,"&gt;="&amp;Q$6,'Invoices - Preopening'!$H$20:$H$299,"&lt;="&amp;Q$7,'Invoices - Preopening'!$C$20:$C$299,'Model - Preopening &amp; Fees'!$B109)</f>
        <v>0</v>
      </c>
      <c r="R109" s="116">
        <f>SUMIFS('Invoices - Preopening'!$I$20:$I$299,'Invoices - Preopening'!$H$20:$H$299,"&gt;="&amp;R$6,'Invoices - Preopening'!$H$20:$H$299,"&lt;="&amp;R$7,'Invoices - Preopening'!$C$20:$C$299,'Model - Preopening &amp; Fees'!$B109)</f>
        <v>0</v>
      </c>
      <c r="S109" s="116">
        <f>SUMIFS('Invoices - Preopening'!$I$20:$I$299,'Invoices - Preopening'!$H$20:$H$299,"&gt;="&amp;S$6,'Invoices - Preopening'!$H$20:$H$299,"&lt;="&amp;S$7,'Invoices - Preopening'!$C$20:$C$299,'Model - Preopening &amp; Fees'!$B109)</f>
        <v>0</v>
      </c>
      <c r="T109" s="116">
        <f>SUMIFS('Invoices - Preopening'!$I$20:$I$299,'Invoices - Preopening'!$H$20:$H$299,"&gt;="&amp;T$6,'Invoices - Preopening'!$H$20:$H$299,"&lt;="&amp;T$7,'Invoices - Preopening'!$C$20:$C$299,'Model - Preopening &amp; Fees'!$B109)</f>
        <v>0</v>
      </c>
      <c r="U109" s="116">
        <f>SUMIFS('Invoices - Preopening'!$I$20:$I$299,'Invoices - Preopening'!$H$20:$H$299,"&gt;="&amp;U$6,'Invoices - Preopening'!$H$20:$H$299,"&lt;="&amp;U$7,'Invoices - Preopening'!$C$20:$C$299,'Model - Preopening &amp; Fees'!$B109)</f>
        <v>0</v>
      </c>
      <c r="V109" s="116">
        <f>SUMIFS('Invoices - Preopening'!$I$20:$I$299,'Invoices - Preopening'!$H$20:$H$299,"&gt;="&amp;V$6,'Invoices - Preopening'!$H$20:$H$299,"&lt;="&amp;V$7,'Invoices - Preopening'!$C$20:$C$299,'Model - Preopening &amp; Fees'!$B109)</f>
        <v>0</v>
      </c>
      <c r="W109" s="116">
        <f>SUMIFS('Invoices - Preopening'!$I$20:$I$299,'Invoices - Preopening'!$H$20:$H$299,"&gt;="&amp;W$6,'Invoices - Preopening'!$H$20:$H$299,"&lt;="&amp;W$7,'Invoices - Preopening'!$C$20:$C$299,'Model - Preopening &amp; Fees'!$B109)</f>
        <v>0</v>
      </c>
      <c r="X109" s="116">
        <f>SUMIFS('Invoices - Preopening'!$I$20:$I$299,'Invoices - Preopening'!$H$20:$H$299,"&gt;="&amp;X$6,'Invoices - Preopening'!$H$20:$H$299,"&lt;="&amp;X$7,'Invoices - Preopening'!$C$20:$C$299,'Model - Preopening &amp; Fees'!$B109)</f>
        <v>0</v>
      </c>
      <c r="Y109" s="116">
        <f>SUMIFS('Invoices - Preopening'!$I$20:$I$299,'Invoices - Preopening'!$H$20:$H$299,"&gt;="&amp;Y$6,'Invoices - Preopening'!$H$20:$H$299,"&lt;="&amp;Y$7,'Invoices - Preopening'!$C$20:$C$299,'Model - Preopening &amp; Fees'!$B109)</f>
        <v>0</v>
      </c>
      <c r="Z109" s="116">
        <f>SUMIFS('Invoices - Preopening'!$I$20:$I$299,'Invoices - Preopening'!$H$20:$H$299,"&gt;="&amp;Z$6,'Invoices - Preopening'!$H$20:$H$299,"&lt;="&amp;Z$7,'Invoices - Preopening'!$C$20:$C$299,'Model - Preopening &amp; Fees'!$B109)</f>
        <v>0</v>
      </c>
      <c r="AA109" s="116">
        <f>SUMIFS('Invoices - Preopening'!$I$20:$I$299,'Invoices - Preopening'!$H$20:$H$299,"&gt;="&amp;AA$6,'Invoices - Preopening'!$H$20:$H$299,"&lt;="&amp;AA$7,'Invoices - Preopening'!$C$20:$C$299,'Model - Preopening &amp; Fees'!$B109)</f>
        <v>0</v>
      </c>
      <c r="AB109" s="116">
        <f>SUMIFS('Invoices - Preopening'!$I$20:$I$299,'Invoices - Preopening'!$H$20:$H$299,"&gt;="&amp;AB$6,'Invoices - Preopening'!$H$20:$H$299,"&lt;="&amp;AB$7,'Invoices - Preopening'!$C$20:$C$299,'Model - Preopening &amp; Fees'!$B109)</f>
        <v>0</v>
      </c>
      <c r="AC109" s="116">
        <f>SUMIFS('Invoices - Preopening'!$I$20:$I$299,'Invoices - Preopening'!$H$20:$H$299,"&gt;="&amp;AC$6,'Invoices - Preopening'!$H$20:$H$299,"&lt;="&amp;AC$7,'Invoices - Preopening'!$C$20:$C$299,'Model - Preopening &amp; Fees'!$B109)</f>
        <v>0</v>
      </c>
      <c r="AD109" s="55">
        <v>0</v>
      </c>
      <c r="AE109" s="55">
        <v>0</v>
      </c>
      <c r="AF109" s="55">
        <v>0</v>
      </c>
      <c r="AG109" s="55">
        <v>0</v>
      </c>
      <c r="AH109" s="55">
        <v>0</v>
      </c>
      <c r="AI109" s="55">
        <v>170</v>
      </c>
      <c r="AJ109" s="55">
        <v>170</v>
      </c>
      <c r="AK109" s="55">
        <v>170</v>
      </c>
      <c r="AL109" s="55">
        <v>0</v>
      </c>
      <c r="AM109" s="55">
        <v>0</v>
      </c>
      <c r="AN109" s="55">
        <v>0</v>
      </c>
      <c r="AO109" s="55">
        <v>0</v>
      </c>
      <c r="AP109" s="55">
        <v>0</v>
      </c>
      <c r="AQ109" s="55">
        <v>0</v>
      </c>
      <c r="AR109" s="55">
        <v>0</v>
      </c>
      <c r="AT109" s="24">
        <f t="shared" si="89"/>
        <v>0</v>
      </c>
      <c r="AU109" s="24">
        <f t="shared" si="89"/>
        <v>0</v>
      </c>
      <c r="AV109" s="24">
        <f t="shared" si="89"/>
        <v>0</v>
      </c>
      <c r="AW109" s="24">
        <f t="shared" si="89"/>
        <v>0</v>
      </c>
      <c r="AX109" s="24">
        <f t="shared" si="89"/>
        <v>0</v>
      </c>
      <c r="AY109" s="1">
        <f t="shared" si="89"/>
        <v>0</v>
      </c>
      <c r="AZ109" s="1">
        <f t="shared" si="89"/>
        <v>0</v>
      </c>
      <c r="BA109" s="1">
        <f t="shared" si="89"/>
        <v>-170</v>
      </c>
      <c r="BB109" s="1">
        <f t="shared" si="89"/>
        <v>-340</v>
      </c>
      <c r="BC109" s="1">
        <f t="shared" si="89"/>
        <v>0</v>
      </c>
      <c r="BD109" s="1">
        <f t="shared" si="89"/>
        <v>0</v>
      </c>
      <c r="BF109" s="1">
        <f t="shared" si="96"/>
        <v>-510</v>
      </c>
    </row>
    <row r="110" spans="1:59" x14ac:dyDescent="0.25">
      <c r="A110" s="20"/>
      <c r="B110" s="20" t="s">
        <v>167</v>
      </c>
      <c r="C110" s="20"/>
      <c r="D110" s="20"/>
      <c r="E110" s="20"/>
      <c r="F110" s="15">
        <f>SUM(F100:F109)</f>
        <v>38310</v>
      </c>
      <c r="G110" s="15">
        <f>SUM(G100:G109)</f>
        <v>0</v>
      </c>
      <c r="H110" s="15">
        <f>SUM(H100:H109)</f>
        <v>38310</v>
      </c>
      <c r="I110" s="20"/>
      <c r="J110" s="15">
        <f t="shared" si="88"/>
        <v>38310</v>
      </c>
      <c r="K110" s="20"/>
      <c r="L110" s="15">
        <f t="shared" ref="L110:AR110" si="98">SUM(L100:L109)</f>
        <v>0</v>
      </c>
      <c r="M110" s="15">
        <f t="shared" si="98"/>
        <v>0</v>
      </c>
      <c r="N110" s="15">
        <f t="shared" si="98"/>
        <v>0</v>
      </c>
      <c r="O110" s="15">
        <f t="shared" si="98"/>
        <v>0</v>
      </c>
      <c r="P110" s="15">
        <f t="shared" si="98"/>
        <v>0</v>
      </c>
      <c r="Q110" s="15">
        <f t="shared" si="98"/>
        <v>0</v>
      </c>
      <c r="R110" s="15">
        <f t="shared" si="98"/>
        <v>0</v>
      </c>
      <c r="S110" s="15">
        <f t="shared" si="98"/>
        <v>0</v>
      </c>
      <c r="T110" s="15">
        <f t="shared" si="98"/>
        <v>0</v>
      </c>
      <c r="U110" s="15">
        <f t="shared" si="98"/>
        <v>0</v>
      </c>
      <c r="V110" s="15">
        <f t="shared" si="98"/>
        <v>0</v>
      </c>
      <c r="W110" s="15">
        <f t="shared" si="98"/>
        <v>0</v>
      </c>
      <c r="X110" s="15">
        <f t="shared" si="98"/>
        <v>0</v>
      </c>
      <c r="Y110" s="15">
        <f t="shared" si="98"/>
        <v>0</v>
      </c>
      <c r="Z110" s="15">
        <f t="shared" si="98"/>
        <v>0</v>
      </c>
      <c r="AA110" s="15">
        <f t="shared" si="98"/>
        <v>0</v>
      </c>
      <c r="AB110" s="15">
        <f t="shared" si="98"/>
        <v>0</v>
      </c>
      <c r="AC110" s="15">
        <f t="shared" si="98"/>
        <v>0</v>
      </c>
      <c r="AD110" s="15">
        <f t="shared" si="98"/>
        <v>0</v>
      </c>
      <c r="AE110" s="15">
        <f t="shared" si="98"/>
        <v>0</v>
      </c>
      <c r="AF110" s="15">
        <f t="shared" si="98"/>
        <v>2050</v>
      </c>
      <c r="AG110" s="15">
        <f t="shared" si="98"/>
        <v>3650</v>
      </c>
      <c r="AH110" s="15">
        <f t="shared" si="98"/>
        <v>7250</v>
      </c>
      <c r="AI110" s="15">
        <f t="shared" si="98"/>
        <v>8220</v>
      </c>
      <c r="AJ110" s="15">
        <f t="shared" si="98"/>
        <v>8570</v>
      </c>
      <c r="AK110" s="15">
        <f t="shared" si="98"/>
        <v>8570</v>
      </c>
      <c r="AL110" s="15">
        <f t="shared" si="98"/>
        <v>0</v>
      </c>
      <c r="AM110" s="15">
        <f t="shared" si="98"/>
        <v>0</v>
      </c>
      <c r="AN110" s="15">
        <f t="shared" si="98"/>
        <v>0</v>
      </c>
      <c r="AO110" s="15">
        <f t="shared" si="98"/>
        <v>0</v>
      </c>
      <c r="AP110" s="15">
        <f t="shared" si="98"/>
        <v>0</v>
      </c>
      <c r="AQ110" s="15">
        <f t="shared" si="98"/>
        <v>0</v>
      </c>
      <c r="AR110" s="15">
        <f t="shared" si="98"/>
        <v>0</v>
      </c>
      <c r="AS110" s="20"/>
      <c r="AT110" s="15">
        <f t="shared" ref="AT110:BD110" si="99">SUM(AT100:AT109)</f>
        <v>0</v>
      </c>
      <c r="AU110" s="15">
        <f t="shared" si="99"/>
        <v>0</v>
      </c>
      <c r="AV110" s="15">
        <f t="shared" si="99"/>
        <v>0</v>
      </c>
      <c r="AW110" s="15">
        <f t="shared" si="99"/>
        <v>0</v>
      </c>
      <c r="AX110" s="15">
        <f t="shared" si="99"/>
        <v>0</v>
      </c>
      <c r="AY110" s="15">
        <f t="shared" si="99"/>
        <v>0</v>
      </c>
      <c r="AZ110" s="15">
        <f t="shared" si="99"/>
        <v>-2050</v>
      </c>
      <c r="BA110" s="15">
        <f t="shared" si="99"/>
        <v>-19120</v>
      </c>
      <c r="BB110" s="15">
        <f t="shared" si="99"/>
        <v>-17140</v>
      </c>
      <c r="BC110" s="15">
        <f t="shared" si="99"/>
        <v>0</v>
      </c>
      <c r="BD110" s="15">
        <f t="shared" si="99"/>
        <v>0</v>
      </c>
      <c r="BE110" s="20"/>
      <c r="BF110" s="15">
        <f t="shared" si="90"/>
        <v>-38310</v>
      </c>
      <c r="BG110" s="20"/>
    </row>
    <row r="111" spans="1:59" x14ac:dyDescent="0.25">
      <c r="A111" s="20"/>
      <c r="B111" s="20"/>
      <c r="C111" s="20"/>
      <c r="D111" s="20"/>
      <c r="E111" s="20"/>
      <c r="F111" s="15"/>
      <c r="G111" s="15"/>
      <c r="H111" s="15"/>
      <c r="I111" s="20"/>
      <c r="J111" s="15"/>
      <c r="K111" s="20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20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20"/>
      <c r="BF111" s="15"/>
      <c r="BG111" s="20"/>
    </row>
    <row r="112" spans="1:59" x14ac:dyDescent="0.25">
      <c r="B112" s="4" t="s">
        <v>168</v>
      </c>
      <c r="C112" s="4"/>
      <c r="D112" s="53"/>
      <c r="E112" s="53"/>
      <c r="F112" s="53"/>
      <c r="G112" s="53"/>
      <c r="H112" s="53"/>
      <c r="J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140"/>
      <c r="AK112" s="140"/>
      <c r="AL112" s="140"/>
      <c r="AM112" s="140"/>
      <c r="AN112" s="140"/>
      <c r="AO112" s="140"/>
      <c r="AP112" s="140"/>
      <c r="AQ112" s="140"/>
      <c r="AR112" s="140"/>
      <c r="AT112" s="140"/>
      <c r="AU112" s="140"/>
      <c r="AV112" s="140"/>
      <c r="AW112" s="140"/>
      <c r="AX112" s="140"/>
      <c r="AY112" s="140"/>
      <c r="AZ112" s="140"/>
      <c r="BA112" s="140"/>
      <c r="BB112" s="140"/>
      <c r="BC112" s="140"/>
      <c r="BD112" s="140"/>
      <c r="BF112" s="140"/>
    </row>
    <row r="114" spans="1:58" s="20" customFormat="1" x14ac:dyDescent="0.25">
      <c r="B114" s="57" t="s">
        <v>120</v>
      </c>
      <c r="C114" s="57"/>
      <c r="D114" s="58" t="s">
        <v>121</v>
      </c>
      <c r="E114" s="58"/>
      <c r="F114" s="58" t="s">
        <v>120</v>
      </c>
      <c r="G114" s="58" t="s">
        <v>123</v>
      </c>
      <c r="H114" s="58" t="s">
        <v>124</v>
      </c>
      <c r="J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F114" s="58"/>
    </row>
    <row r="115" spans="1:58" x14ac:dyDescent="0.25">
      <c r="B115" s="21" t="s">
        <v>257</v>
      </c>
      <c r="C115" s="21"/>
      <c r="D115" s="2" t="s">
        <v>168</v>
      </c>
      <c r="E115" s="2" t="s">
        <v>169</v>
      </c>
      <c r="F115" s="9">
        <v>165000</v>
      </c>
      <c r="G115" s="59">
        <f>SUMIFS($L115:$AR115,$L$7:$AR$7,"&lt;="&amp;$J$4)</f>
        <v>0</v>
      </c>
      <c r="H115" s="59">
        <f t="shared" ref="H115" si="100">J115-G115</f>
        <v>165000</v>
      </c>
      <c r="J115" s="1">
        <f t="shared" ref="J115:J117" si="101">SUM(L115:AR115)</f>
        <v>165000</v>
      </c>
      <c r="L115" s="23">
        <f>SUMIFS('Invoices - Preopening'!$I$20:$I$299,'Invoices - Preopening'!$H$20:$H$299,"&gt;="&amp;L$6,'Invoices - Preopening'!$H$20:$H$299,"&lt;="&amp;L$7,'Invoices - Preopening'!$C$20:$C$299,'Model - Preopening &amp; Fees'!$B115)</f>
        <v>0</v>
      </c>
      <c r="M115" s="23">
        <f>SUMIFS('Invoices - Preopening'!$I$20:$I$299,'Invoices - Preopening'!$H$20:$H$299,"&gt;="&amp;M$6,'Invoices - Preopening'!$H$20:$H$299,"&lt;="&amp;M$7,'Invoices - Preopening'!$C$20:$C$299,'Model - Preopening &amp; Fees'!$B115)</f>
        <v>0</v>
      </c>
      <c r="N115" s="23">
        <f>SUMIFS('Invoices - Preopening'!$I$20:$I$299,'Invoices - Preopening'!$H$20:$H$299,"&gt;="&amp;N$6,'Invoices - Preopening'!$H$20:$H$299,"&lt;="&amp;N$7,'Invoices - Preopening'!$C$20:$C$299,'Model - Preopening &amp; Fees'!$B115)</f>
        <v>0</v>
      </c>
      <c r="O115" s="23">
        <f>SUMIFS('Invoices - Preopening'!$I$20:$I$299,'Invoices - Preopening'!$H$20:$H$299,"&gt;="&amp;O$6,'Invoices - Preopening'!$H$20:$H$299,"&lt;="&amp;O$7,'Invoices - Preopening'!$C$20:$C$299,'Model - Preopening &amp; Fees'!$B115)</f>
        <v>0</v>
      </c>
      <c r="P115" s="23">
        <f>SUMIFS('Invoices - Preopening'!$I$20:$I$299,'Invoices - Preopening'!$H$20:$H$299,"&gt;="&amp;P$6,'Invoices - Preopening'!$H$20:$H$299,"&lt;="&amp;P$7,'Invoices - Preopening'!$C$20:$C$299,'Model - Preopening &amp; Fees'!$B115)</f>
        <v>0</v>
      </c>
      <c r="Q115" s="23">
        <f>SUMIFS('Invoices - Preopening'!$I$20:$I$299,'Invoices - Preopening'!$H$20:$H$299,"&gt;="&amp;Q$6,'Invoices - Preopening'!$H$20:$H$299,"&lt;="&amp;Q$7,'Invoices - Preopening'!$C$20:$C$299,'Model - Preopening &amp; Fees'!$B115)</f>
        <v>0</v>
      </c>
      <c r="R115" s="23">
        <f>SUMIFS('Invoices - Preopening'!$I$20:$I$299,'Invoices - Preopening'!$H$20:$H$299,"&gt;="&amp;R$6,'Invoices - Preopening'!$H$20:$H$299,"&lt;="&amp;R$7,'Invoices - Preopening'!$C$20:$C$299,'Model - Preopening &amp; Fees'!$B115)</f>
        <v>0</v>
      </c>
      <c r="S115" s="23">
        <f>SUMIFS('Invoices - Preopening'!$I$20:$I$299,'Invoices - Preopening'!$H$20:$H$299,"&gt;="&amp;S$6,'Invoices - Preopening'!$H$20:$H$299,"&lt;="&amp;S$7,'Invoices - Preopening'!$C$20:$C$299,'Model - Preopening &amp; Fees'!$B115)</f>
        <v>0</v>
      </c>
      <c r="T115" s="23">
        <f>SUMIFS('Invoices - Preopening'!$I$20:$I$299,'Invoices - Preopening'!$H$20:$H$299,"&gt;="&amp;T$6,'Invoices - Preopening'!$H$20:$H$299,"&lt;="&amp;T$7,'Invoices - Preopening'!$C$20:$C$299,'Model - Preopening &amp; Fees'!$B115)</f>
        <v>0</v>
      </c>
      <c r="U115" s="23">
        <f>SUMIFS('Invoices - Preopening'!$I$20:$I$299,'Invoices - Preopening'!$H$20:$H$299,"&gt;="&amp;U$6,'Invoices - Preopening'!$H$20:$H$299,"&lt;="&amp;U$7,'Invoices - Preopening'!$C$20:$C$299,'Model - Preopening &amp; Fees'!$B115)</f>
        <v>0</v>
      </c>
      <c r="V115" s="23">
        <f>SUMIFS('Invoices - Preopening'!$I$20:$I$299,'Invoices - Preopening'!$H$20:$H$299,"&gt;="&amp;V$6,'Invoices - Preopening'!$H$20:$H$299,"&lt;="&amp;V$7,'Invoices - Preopening'!$C$20:$C$299,'Model - Preopening &amp; Fees'!$B115)</f>
        <v>0</v>
      </c>
      <c r="W115" s="23">
        <f>SUMIFS('Invoices - Preopening'!$I$20:$I$299,'Invoices - Preopening'!$H$20:$H$299,"&gt;="&amp;W$6,'Invoices - Preopening'!$H$20:$H$299,"&lt;="&amp;W$7,'Invoices - Preopening'!$C$20:$C$299,'Model - Preopening &amp; Fees'!$B115)</f>
        <v>0</v>
      </c>
      <c r="X115" s="23">
        <f>SUMIFS('Invoices - Preopening'!$I$20:$I$299,'Invoices - Preopening'!$H$20:$H$299,"&gt;="&amp;X$6,'Invoices - Preopening'!$H$20:$H$299,"&lt;="&amp;X$7,'Invoices - Preopening'!$C$20:$C$299,'Model - Preopening &amp; Fees'!$B115)</f>
        <v>0</v>
      </c>
      <c r="Y115" s="23">
        <f>SUMIFS('Invoices - Preopening'!$I$20:$I$299,'Invoices - Preopening'!$H$20:$H$299,"&gt;="&amp;Y$6,'Invoices - Preopening'!$H$20:$H$299,"&lt;="&amp;Y$7,'Invoices - Preopening'!$C$20:$C$299,'Model - Preopening &amp; Fees'!$B115)</f>
        <v>0</v>
      </c>
      <c r="Z115" s="23">
        <f>SUMIFS('Invoices - Preopening'!$I$20:$I$299,'Invoices - Preopening'!$H$20:$H$299,"&gt;="&amp;Z$6,'Invoices - Preopening'!$H$20:$H$299,"&lt;="&amp;Z$7,'Invoices - Preopening'!$C$20:$C$299,'Model - Preopening &amp; Fees'!$B115)</f>
        <v>0</v>
      </c>
      <c r="AA115" s="23">
        <f>SUMIFS('Invoices - Preopening'!$I$20:$I$299,'Invoices - Preopening'!$H$20:$H$299,"&gt;="&amp;AA$6,'Invoices - Preopening'!$H$20:$H$299,"&lt;="&amp;AA$7,'Invoices - Preopening'!$C$20:$C$299,'Model - Preopening &amp; Fees'!$B115)</f>
        <v>0</v>
      </c>
      <c r="AB115" s="23">
        <f>SUMIFS('Invoices - Preopening'!$I$20:$I$299,'Invoices - Preopening'!$H$20:$H$299,"&gt;="&amp;AB$6,'Invoices - Preopening'!$H$20:$H$299,"&lt;="&amp;AB$7,'Invoices - Preopening'!$C$20:$C$299,'Model - Preopening &amp; Fees'!$B115)</f>
        <v>0</v>
      </c>
      <c r="AC115" s="23">
        <f>SUMIFS('Invoices - Preopening'!$I$20:$I$299,'Invoices - Preopening'!$H$20:$H$299,"&gt;="&amp;AC$6,'Invoices - Preopening'!$H$20:$H$299,"&lt;="&amp;AC$7,'Invoices - Preopening'!$C$20:$C$299,'Model - Preopening &amp; Fees'!$B115)</f>
        <v>0</v>
      </c>
      <c r="AD115" s="9">
        <v>5000</v>
      </c>
      <c r="AE115" s="9">
        <v>10000</v>
      </c>
      <c r="AF115" s="9">
        <v>20000</v>
      </c>
      <c r="AG115" s="9">
        <v>20000</v>
      </c>
      <c r="AH115" s="9">
        <v>35000</v>
      </c>
      <c r="AI115" s="9">
        <v>35000</v>
      </c>
      <c r="AJ115" s="9">
        <v>40000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T115" s="24">
        <f t="shared" ref="AT115:BD116" si="102">-SUMIFS($L115:$AR115,$L$5:$AR$5,AT$5)</f>
        <v>0</v>
      </c>
      <c r="AU115" s="24">
        <f t="shared" si="102"/>
        <v>0</v>
      </c>
      <c r="AV115" s="24">
        <f t="shared" si="102"/>
        <v>0</v>
      </c>
      <c r="AW115" s="24">
        <f t="shared" si="102"/>
        <v>0</v>
      </c>
      <c r="AX115" s="24">
        <f t="shared" si="102"/>
        <v>0</v>
      </c>
      <c r="AY115" s="1">
        <f t="shared" si="102"/>
        <v>0</v>
      </c>
      <c r="AZ115" s="1">
        <f t="shared" si="102"/>
        <v>-35000</v>
      </c>
      <c r="BA115" s="1">
        <f t="shared" si="102"/>
        <v>-90000</v>
      </c>
      <c r="BB115" s="1">
        <f t="shared" si="102"/>
        <v>-40000</v>
      </c>
      <c r="BC115" s="1">
        <f t="shared" si="102"/>
        <v>0</v>
      </c>
      <c r="BD115" s="1">
        <f t="shared" si="102"/>
        <v>0</v>
      </c>
      <c r="BF115" s="1">
        <f t="shared" si="57"/>
        <v>-165000</v>
      </c>
    </row>
    <row r="116" spans="1:58" x14ac:dyDescent="0.25">
      <c r="B116" s="22"/>
      <c r="C116" s="22"/>
      <c r="D116" s="54"/>
      <c r="E116" s="54"/>
      <c r="F116" s="55"/>
      <c r="G116" s="60">
        <f t="shared" ref="G116" si="103">SUMIFS($L116:$AR116,$L$7:$AR$7,"&lt;="&amp;$J$4)</f>
        <v>0</v>
      </c>
      <c r="H116" s="60">
        <f>F116-G116</f>
        <v>0</v>
      </c>
      <c r="J116" s="18"/>
      <c r="L116" s="56">
        <f>SUMIFS('Invoices - Preopening'!$I$20:$I$299,'Invoices - Preopening'!$H$20:$H$299,"&gt;="&amp;L$6,'Invoices - Preopening'!$H$20:$H$299,"&lt;="&amp;L$7,'Invoices - Preopening'!$C$20:$C$299,'Model - Preopening &amp; Fees'!$B116)</f>
        <v>0</v>
      </c>
      <c r="M116" s="56">
        <f>SUMIFS('Invoices - Preopening'!$I$20:$I$299,'Invoices - Preopening'!$H$20:$H$299,"&gt;="&amp;M$6,'Invoices - Preopening'!$H$20:$H$299,"&lt;="&amp;M$7,'Invoices - Preopening'!$C$20:$C$299,'Model - Preopening &amp; Fees'!$B116)</f>
        <v>0</v>
      </c>
      <c r="N116" s="56">
        <f>SUMIFS('Invoices - Preopening'!$I$20:$I$299,'Invoices - Preopening'!$H$20:$H$299,"&gt;="&amp;N$6,'Invoices - Preopening'!$H$20:$H$299,"&lt;="&amp;N$7,'Invoices - Preopening'!$C$20:$C$299,'Model - Preopening &amp; Fees'!$B116)</f>
        <v>0</v>
      </c>
      <c r="O116" s="56">
        <f>SUMIFS('Invoices - Preopening'!$I$20:$I$299,'Invoices - Preopening'!$H$20:$H$299,"&gt;="&amp;O$6,'Invoices - Preopening'!$H$20:$H$299,"&lt;="&amp;O$7,'Invoices - Preopening'!$C$20:$C$299,'Model - Preopening &amp; Fees'!$B116)</f>
        <v>0</v>
      </c>
      <c r="P116" s="56">
        <f>SUMIFS('Invoices - Preopening'!$I$20:$I$299,'Invoices - Preopening'!$H$20:$H$299,"&gt;="&amp;P$6,'Invoices - Preopening'!$H$20:$H$299,"&lt;="&amp;P$7,'Invoices - Preopening'!$C$20:$C$299,'Model - Preopening &amp; Fees'!$B116)</f>
        <v>0</v>
      </c>
      <c r="Q116" s="56">
        <f>SUMIFS('Invoices - Preopening'!$I$20:$I$299,'Invoices - Preopening'!$H$20:$H$299,"&gt;="&amp;Q$6,'Invoices - Preopening'!$H$20:$H$299,"&lt;="&amp;Q$7,'Invoices - Preopening'!$C$20:$C$299,'Model - Preopening &amp; Fees'!$B116)</f>
        <v>0</v>
      </c>
      <c r="R116" s="56">
        <f>SUMIFS('Invoices - Preopening'!$I$20:$I$299,'Invoices - Preopening'!$H$20:$H$299,"&gt;="&amp;R$6,'Invoices - Preopening'!$H$20:$H$299,"&lt;="&amp;R$7,'Invoices - Preopening'!$C$20:$C$299,'Model - Preopening &amp; Fees'!$B116)</f>
        <v>0</v>
      </c>
      <c r="S116" s="56">
        <f>SUMIFS('Invoices - Preopening'!$I$20:$I$299,'Invoices - Preopening'!$H$20:$H$299,"&gt;="&amp;S$6,'Invoices - Preopening'!$H$20:$H$299,"&lt;="&amp;S$7,'Invoices - Preopening'!$C$20:$C$299,'Model - Preopening &amp; Fees'!$B116)</f>
        <v>0</v>
      </c>
      <c r="T116" s="56">
        <f>SUMIFS('Invoices - Preopening'!$I$20:$I$299,'Invoices - Preopening'!$H$20:$H$299,"&gt;="&amp;T$6,'Invoices - Preopening'!$H$20:$H$299,"&lt;="&amp;T$7,'Invoices - Preopening'!$C$20:$C$299,'Model - Preopening &amp; Fees'!$B116)</f>
        <v>0</v>
      </c>
      <c r="U116" s="56">
        <f>SUMIFS('Invoices - Preopening'!$I$20:$I$299,'Invoices - Preopening'!$H$20:$H$299,"&gt;="&amp;U$6,'Invoices - Preopening'!$H$20:$H$299,"&lt;="&amp;U$7,'Invoices - Preopening'!$C$20:$C$299,'Model - Preopening &amp; Fees'!$B116)</f>
        <v>0</v>
      </c>
      <c r="V116" s="56">
        <f>SUMIFS('Invoices - Preopening'!$I$20:$I$299,'Invoices - Preopening'!$H$20:$H$299,"&gt;="&amp;V$6,'Invoices - Preopening'!$H$20:$H$299,"&lt;="&amp;V$7,'Invoices - Preopening'!$C$20:$C$299,'Model - Preopening &amp; Fees'!$B116)</f>
        <v>0</v>
      </c>
      <c r="W116" s="56">
        <f>SUMIFS('Invoices - Preopening'!$I$20:$I$299,'Invoices - Preopening'!$H$20:$H$299,"&gt;="&amp;W$6,'Invoices - Preopening'!$H$20:$H$299,"&lt;="&amp;W$7,'Invoices - Preopening'!$C$20:$C$299,'Model - Preopening &amp; Fees'!$B116)</f>
        <v>0</v>
      </c>
      <c r="X116" s="56">
        <f>SUMIFS('Invoices - Preopening'!$I$20:$I$299,'Invoices - Preopening'!$H$20:$H$299,"&gt;="&amp;X$6,'Invoices - Preopening'!$H$20:$H$299,"&lt;="&amp;X$7,'Invoices - Preopening'!$C$20:$C$299,'Model - Preopening &amp; Fees'!$B116)</f>
        <v>0</v>
      </c>
      <c r="Y116" s="56">
        <f>SUMIFS('Invoices - Preopening'!$I$20:$I$299,'Invoices - Preopening'!$H$20:$H$299,"&gt;="&amp;Y$6,'Invoices - Preopening'!$H$20:$H$299,"&lt;="&amp;Y$7,'Invoices - Preopening'!$C$20:$C$299,'Model - Preopening &amp; Fees'!$B116)</f>
        <v>0</v>
      </c>
      <c r="Z116" s="56">
        <f>SUMIFS('Invoices - Preopening'!$I$20:$I$299,'Invoices - Preopening'!$H$20:$H$299,"&gt;="&amp;Z$6,'Invoices - Preopening'!$H$20:$H$299,"&lt;="&amp;Z$7,'Invoices - Preopening'!$C$20:$C$299,'Model - Preopening &amp; Fees'!$B116)</f>
        <v>0</v>
      </c>
      <c r="AA116" s="56">
        <f>SUMIFS('Invoices - Preopening'!$I$20:$I$299,'Invoices - Preopening'!$H$20:$H$299,"&gt;="&amp;AA$6,'Invoices - Preopening'!$H$20:$H$299,"&lt;="&amp;AA$7,'Invoices - Preopening'!$C$20:$C$299,'Model - Preopening &amp; Fees'!$B116)</f>
        <v>0</v>
      </c>
      <c r="AB116" s="56">
        <f>SUMIFS('Invoices - Preopening'!$I$20:$I$299,'Invoices - Preopening'!$H$20:$H$299,"&gt;="&amp;AB$6,'Invoices - Preopening'!$H$20:$H$299,"&lt;="&amp;AB$7,'Invoices - Preopening'!$C$20:$C$299,'Model - Preopening &amp; Fees'!$B116)</f>
        <v>0</v>
      </c>
      <c r="AC116" s="56">
        <f>SUMIFS('Invoices - Preopening'!$I$20:$I$299,'Invoices - Preopening'!$H$20:$H$299,"&gt;="&amp;AC$6,'Invoices - Preopening'!$H$20:$H$299,"&lt;="&amp;AC$7,'Invoices - Preopening'!$C$20:$C$299,'Model - Preopening &amp; Fees'!$B116)</f>
        <v>0</v>
      </c>
      <c r="AD116" s="55">
        <v>0</v>
      </c>
      <c r="AE116" s="55">
        <v>0</v>
      </c>
      <c r="AF116" s="55">
        <v>0</v>
      </c>
      <c r="AG116" s="55"/>
      <c r="AH116" s="55"/>
      <c r="AI116" s="55"/>
      <c r="AJ116" s="55"/>
      <c r="AK116" s="55">
        <v>0</v>
      </c>
      <c r="AL116" s="55">
        <v>0</v>
      </c>
      <c r="AM116" s="55">
        <v>0</v>
      </c>
      <c r="AN116" s="55">
        <v>0</v>
      </c>
      <c r="AO116" s="55">
        <v>0</v>
      </c>
      <c r="AP116" s="55">
        <v>0</v>
      </c>
      <c r="AQ116" s="55">
        <v>0</v>
      </c>
      <c r="AR116" s="55">
        <v>0</v>
      </c>
      <c r="AT116" s="24">
        <f t="shared" si="102"/>
        <v>0</v>
      </c>
      <c r="AU116" s="24">
        <f t="shared" si="102"/>
        <v>0</v>
      </c>
      <c r="AV116" s="24">
        <f t="shared" si="102"/>
        <v>0</v>
      </c>
      <c r="AW116" s="24">
        <f t="shared" si="102"/>
        <v>0</v>
      </c>
      <c r="AX116" s="24">
        <f t="shared" si="102"/>
        <v>0</v>
      </c>
      <c r="AY116" s="1">
        <f t="shared" si="102"/>
        <v>0</v>
      </c>
      <c r="AZ116" s="1">
        <f t="shared" si="102"/>
        <v>0</v>
      </c>
      <c r="BA116" s="1">
        <f t="shared" si="102"/>
        <v>0</v>
      </c>
      <c r="BB116" s="1">
        <f t="shared" si="102"/>
        <v>0</v>
      </c>
      <c r="BC116" s="1">
        <f t="shared" si="102"/>
        <v>0</v>
      </c>
      <c r="BD116" s="1">
        <f t="shared" si="102"/>
        <v>0</v>
      </c>
      <c r="BF116" s="1">
        <f t="shared" si="57"/>
        <v>0</v>
      </c>
    </row>
    <row r="117" spans="1:58" s="20" customFormat="1" x14ac:dyDescent="0.25">
      <c r="B117" s="20" t="s">
        <v>170</v>
      </c>
      <c r="F117" s="15">
        <f>SUM(F115:F116)</f>
        <v>165000</v>
      </c>
      <c r="G117" s="15">
        <f t="shared" ref="G117:H117" si="104">SUM(G115:G116)</f>
        <v>0</v>
      </c>
      <c r="H117" s="15">
        <f t="shared" si="104"/>
        <v>165000</v>
      </c>
      <c r="J117" s="15">
        <f t="shared" si="101"/>
        <v>165000</v>
      </c>
      <c r="L117" s="15">
        <f>SUM(L115:L116)</f>
        <v>0</v>
      </c>
      <c r="M117" s="15">
        <f t="shared" ref="M117:AR117" si="105">SUM(M115:M116)</f>
        <v>0</v>
      </c>
      <c r="N117" s="15">
        <f t="shared" si="105"/>
        <v>0</v>
      </c>
      <c r="O117" s="15">
        <f t="shared" si="105"/>
        <v>0</v>
      </c>
      <c r="P117" s="15">
        <f t="shared" si="105"/>
        <v>0</v>
      </c>
      <c r="Q117" s="15">
        <f t="shared" si="105"/>
        <v>0</v>
      </c>
      <c r="R117" s="15">
        <f t="shared" si="105"/>
        <v>0</v>
      </c>
      <c r="S117" s="15">
        <f t="shared" si="105"/>
        <v>0</v>
      </c>
      <c r="T117" s="15">
        <f t="shared" si="105"/>
        <v>0</v>
      </c>
      <c r="U117" s="15">
        <f t="shared" si="105"/>
        <v>0</v>
      </c>
      <c r="V117" s="15">
        <f t="shared" si="105"/>
        <v>0</v>
      </c>
      <c r="W117" s="15">
        <f t="shared" si="105"/>
        <v>0</v>
      </c>
      <c r="X117" s="15">
        <f t="shared" si="105"/>
        <v>0</v>
      </c>
      <c r="Y117" s="15">
        <f t="shared" si="105"/>
        <v>0</v>
      </c>
      <c r="Z117" s="15">
        <f t="shared" si="105"/>
        <v>0</v>
      </c>
      <c r="AA117" s="15">
        <f t="shared" si="105"/>
        <v>0</v>
      </c>
      <c r="AB117" s="15">
        <f t="shared" si="105"/>
        <v>0</v>
      </c>
      <c r="AC117" s="15">
        <f t="shared" si="105"/>
        <v>0</v>
      </c>
      <c r="AD117" s="15">
        <f t="shared" si="105"/>
        <v>5000</v>
      </c>
      <c r="AE117" s="15">
        <f t="shared" si="105"/>
        <v>10000</v>
      </c>
      <c r="AF117" s="15">
        <f t="shared" si="105"/>
        <v>20000</v>
      </c>
      <c r="AG117" s="15">
        <f t="shared" si="105"/>
        <v>20000</v>
      </c>
      <c r="AH117" s="15">
        <f t="shared" si="105"/>
        <v>35000</v>
      </c>
      <c r="AI117" s="15">
        <f t="shared" si="105"/>
        <v>35000</v>
      </c>
      <c r="AJ117" s="15">
        <f t="shared" si="105"/>
        <v>40000</v>
      </c>
      <c r="AK117" s="15">
        <f t="shared" si="105"/>
        <v>0</v>
      </c>
      <c r="AL117" s="15">
        <f t="shared" si="105"/>
        <v>0</v>
      </c>
      <c r="AM117" s="15">
        <f t="shared" si="105"/>
        <v>0</v>
      </c>
      <c r="AN117" s="15">
        <f t="shared" si="105"/>
        <v>0</v>
      </c>
      <c r="AO117" s="15">
        <f t="shared" si="105"/>
        <v>0</v>
      </c>
      <c r="AP117" s="15">
        <f t="shared" si="105"/>
        <v>0</v>
      </c>
      <c r="AQ117" s="15">
        <f t="shared" si="105"/>
        <v>0</v>
      </c>
      <c r="AR117" s="15">
        <f t="shared" si="105"/>
        <v>0</v>
      </c>
      <c r="AT117" s="15">
        <f t="shared" ref="AT117" si="106">SUM(AT115:AT116)</f>
        <v>0</v>
      </c>
      <c r="AU117" s="15">
        <f t="shared" ref="AU117" si="107">SUM(AU115:AU116)</f>
        <v>0</v>
      </c>
      <c r="AV117" s="15">
        <f t="shared" ref="AV117" si="108">SUM(AV115:AV116)</f>
        <v>0</v>
      </c>
      <c r="AW117" s="15">
        <f t="shared" ref="AW117" si="109">SUM(AW115:AW116)</f>
        <v>0</v>
      </c>
      <c r="AX117" s="15">
        <f t="shared" ref="AX117" si="110">SUM(AX115:AX116)</f>
        <v>0</v>
      </c>
      <c r="AY117" s="15">
        <f t="shared" ref="AY117" si="111">SUM(AY115:AY116)</f>
        <v>0</v>
      </c>
      <c r="AZ117" s="15">
        <f t="shared" ref="AZ117" si="112">SUM(AZ115:AZ116)</f>
        <v>-35000</v>
      </c>
      <c r="BA117" s="15">
        <f t="shared" ref="BA117" si="113">SUM(BA115:BA116)</f>
        <v>-90000</v>
      </c>
      <c r="BB117" s="15">
        <f t="shared" ref="BB117" si="114">SUM(BB115:BB116)</f>
        <v>-40000</v>
      </c>
      <c r="BC117" s="15">
        <f t="shared" ref="BC117" si="115">SUM(BC115:BC116)</f>
        <v>0</v>
      </c>
      <c r="BD117" s="15">
        <f t="shared" ref="BD117" si="116">SUM(BD115:BD116)</f>
        <v>0</v>
      </c>
      <c r="BF117" s="15">
        <f t="shared" si="57"/>
        <v>-165000</v>
      </c>
    </row>
    <row r="119" spans="1:58" x14ac:dyDescent="0.25">
      <c r="B119" s="4" t="s">
        <v>171</v>
      </c>
      <c r="C119" s="4"/>
      <c r="D119" s="53"/>
      <c r="E119" s="53"/>
      <c r="F119" s="53"/>
      <c r="G119" s="53"/>
      <c r="H119" s="53"/>
      <c r="J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  <c r="AJ119" s="140"/>
      <c r="AK119" s="140"/>
      <c r="AL119" s="140"/>
      <c r="AM119" s="140"/>
      <c r="AN119" s="140"/>
      <c r="AO119" s="140"/>
      <c r="AP119" s="140"/>
      <c r="AQ119" s="140"/>
      <c r="AR119" s="140"/>
      <c r="AT119" s="140"/>
      <c r="AU119" s="140"/>
      <c r="AV119" s="140"/>
      <c r="AW119" s="140"/>
      <c r="AX119" s="140"/>
      <c r="AY119" s="140"/>
      <c r="AZ119" s="140"/>
      <c r="BA119" s="140"/>
      <c r="BB119" s="140"/>
      <c r="BC119" s="140"/>
      <c r="BD119" s="140"/>
      <c r="BF119" s="140"/>
    </row>
    <row r="121" spans="1:58" s="20" customFormat="1" x14ac:dyDescent="0.25">
      <c r="B121" s="57" t="s">
        <v>120</v>
      </c>
      <c r="C121" s="57"/>
      <c r="D121" s="58" t="s">
        <v>121</v>
      </c>
      <c r="E121" s="58"/>
      <c r="F121" s="58" t="s">
        <v>120</v>
      </c>
      <c r="G121" s="58" t="s">
        <v>123</v>
      </c>
      <c r="H121" s="58" t="s">
        <v>124</v>
      </c>
      <c r="J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F121" s="58"/>
    </row>
    <row r="122" spans="1:58" x14ac:dyDescent="0.25">
      <c r="A122">
        <v>1</v>
      </c>
      <c r="B122" s="21" t="s">
        <v>172</v>
      </c>
      <c r="C122" s="63"/>
      <c r="D122" s="2" t="s">
        <v>171</v>
      </c>
      <c r="E122" s="2" t="s">
        <v>173</v>
      </c>
      <c r="F122" s="9">
        <v>40000</v>
      </c>
      <c r="G122" s="59">
        <f t="shared" ref="G122:G127" si="117">SUMIFS($L122:$AR122,$L$7:$AR$7,"&lt;="&amp;$J$4)</f>
        <v>0</v>
      </c>
      <c r="H122" s="59">
        <f t="shared" ref="H122:H127" si="118">J122-G122</f>
        <v>40000</v>
      </c>
      <c r="J122" s="1">
        <f t="shared" ref="J122:J128" si="119">SUM(L122:AR122)</f>
        <v>40000</v>
      </c>
      <c r="L122" s="115">
        <f>SUMIFS('Invoices - Preopening'!$I$20:$I$299,'Invoices - Preopening'!$H$20:$H$299,"&gt;="&amp;L$6,'Invoices - Preopening'!$H$20:$H$299,"&lt;="&amp;L$7,'Invoices - Preopening'!$C$20:$C$299,'Model - Preopening &amp; Fees'!$B122)</f>
        <v>0</v>
      </c>
      <c r="M122" s="115">
        <f>SUMIFS('Invoices - Preopening'!$I$20:$I$299,'Invoices - Preopening'!$H$20:$H$299,"&gt;="&amp;M$6,'Invoices - Preopening'!$H$20:$H$299,"&lt;="&amp;M$7,'Invoices - Preopening'!$C$20:$C$299,'Model - Preopening &amp; Fees'!$B122)</f>
        <v>0</v>
      </c>
      <c r="N122" s="115">
        <f>SUMIFS('Invoices - Preopening'!$I$20:$I$299,'Invoices - Preopening'!$H$20:$H$299,"&gt;="&amp;N$6,'Invoices - Preopening'!$H$20:$H$299,"&lt;="&amp;N$7,'Invoices - Preopening'!$C$20:$C$299,'Model - Preopening &amp; Fees'!$B122)</f>
        <v>0</v>
      </c>
      <c r="O122" s="115">
        <f>SUMIFS('Invoices - Preopening'!$I$20:$I$299,'Invoices - Preopening'!$H$20:$H$299,"&gt;="&amp;O$6,'Invoices - Preopening'!$H$20:$H$299,"&lt;="&amp;O$7,'Invoices - Preopening'!$C$20:$C$299,'Model - Preopening &amp; Fees'!$B122)</f>
        <v>0</v>
      </c>
      <c r="P122" s="115">
        <f>SUMIFS('Invoices - Preopening'!$I$20:$I$299,'Invoices - Preopening'!$H$20:$H$299,"&gt;="&amp;P$6,'Invoices - Preopening'!$H$20:$H$299,"&lt;="&amp;P$7,'Invoices - Preopening'!$C$20:$C$299,'Model - Preopening &amp; Fees'!$B122)</f>
        <v>0</v>
      </c>
      <c r="Q122" s="115">
        <f>SUMIFS('Invoices - Preopening'!$I$20:$I$299,'Invoices - Preopening'!$H$20:$H$299,"&gt;="&amp;Q$6,'Invoices - Preopening'!$H$20:$H$299,"&lt;="&amp;Q$7,'Invoices - Preopening'!$C$20:$C$299,'Model - Preopening &amp; Fees'!$B122)</f>
        <v>0</v>
      </c>
      <c r="R122" s="115">
        <f>SUMIFS('Invoices - Preopening'!$I$20:$I$299,'Invoices - Preopening'!$H$20:$H$299,"&gt;="&amp;R$6,'Invoices - Preopening'!$H$20:$H$299,"&lt;="&amp;R$7,'Invoices - Preopening'!$C$20:$C$299,'Model - Preopening &amp; Fees'!$B122)</f>
        <v>0</v>
      </c>
      <c r="S122" s="115">
        <f>SUMIFS('Invoices - Preopening'!$I$20:$I$299,'Invoices - Preopening'!$H$20:$H$299,"&gt;="&amp;S$6,'Invoices - Preopening'!$H$20:$H$299,"&lt;="&amp;S$7,'Invoices - Preopening'!$C$20:$C$299,'Model - Preopening &amp; Fees'!$B122)</f>
        <v>0</v>
      </c>
      <c r="T122" s="115">
        <f>SUMIFS('Invoices - Preopening'!$I$20:$I$299,'Invoices - Preopening'!$H$20:$H$299,"&gt;="&amp;T$6,'Invoices - Preopening'!$H$20:$H$299,"&lt;="&amp;T$7,'Invoices - Preopening'!$C$20:$C$299,'Model - Preopening &amp; Fees'!$B122)</f>
        <v>0</v>
      </c>
      <c r="U122" s="115">
        <f>SUMIFS('Invoices - Preopening'!$I$20:$I$299,'Invoices - Preopening'!$H$20:$H$299,"&gt;="&amp;U$6,'Invoices - Preopening'!$H$20:$H$299,"&lt;="&amp;U$7,'Invoices - Preopening'!$C$20:$C$299,'Model - Preopening &amp; Fees'!$B122)</f>
        <v>0</v>
      </c>
      <c r="V122" s="115">
        <f>SUMIFS('Invoices - Preopening'!$I$20:$I$299,'Invoices - Preopening'!$H$20:$H$299,"&gt;="&amp;V$6,'Invoices - Preopening'!$H$20:$H$299,"&lt;="&amp;V$7,'Invoices - Preopening'!$C$20:$C$299,'Model - Preopening &amp; Fees'!$B122)</f>
        <v>0</v>
      </c>
      <c r="W122" s="115">
        <f>SUMIFS('Invoices - Preopening'!$I$20:$I$299,'Invoices - Preopening'!$H$20:$H$299,"&gt;="&amp;W$6,'Invoices - Preopening'!$H$20:$H$299,"&lt;="&amp;W$7,'Invoices - Preopening'!$C$20:$C$299,'Model - Preopening &amp; Fees'!$B122)</f>
        <v>0</v>
      </c>
      <c r="X122" s="115">
        <f>SUMIFS('Invoices - Preopening'!$I$20:$I$299,'Invoices - Preopening'!$H$20:$H$299,"&gt;="&amp;X$6,'Invoices - Preopening'!$H$20:$H$299,"&lt;="&amp;X$7,'Invoices - Preopening'!$C$20:$C$299,'Model - Preopening &amp; Fees'!$B122)</f>
        <v>0</v>
      </c>
      <c r="Y122" s="115">
        <f>SUMIFS('Invoices - Preopening'!$I$20:$I$299,'Invoices - Preopening'!$H$20:$H$299,"&gt;="&amp;Y$6,'Invoices - Preopening'!$H$20:$H$299,"&lt;="&amp;Y$7,'Invoices - Preopening'!$C$20:$C$299,'Model - Preopening &amp; Fees'!$B122)</f>
        <v>0</v>
      </c>
      <c r="Z122" s="115">
        <f>SUMIFS('Invoices - Preopening'!$I$20:$I$299,'Invoices - Preopening'!$H$20:$H$299,"&gt;="&amp;Z$6,'Invoices - Preopening'!$H$20:$H$299,"&lt;="&amp;Z$7,'Invoices - Preopening'!$C$20:$C$299,'Model - Preopening &amp; Fees'!$B122)</f>
        <v>0</v>
      </c>
      <c r="AA122" s="115">
        <f>SUMIFS('Invoices - Preopening'!$I$20:$I$299,'Invoices - Preopening'!$H$20:$H$299,"&gt;="&amp;AA$6,'Invoices - Preopening'!$H$20:$H$299,"&lt;="&amp;AA$7,'Invoices - Preopening'!$C$20:$C$299,'Model - Preopening &amp; Fees'!$B122)</f>
        <v>0</v>
      </c>
      <c r="AB122" s="115">
        <f>SUMIFS('Invoices - Preopening'!$I$20:$I$299,'Invoices - Preopening'!$H$20:$H$299,"&gt;="&amp;AB$6,'Invoices - Preopening'!$H$20:$H$299,"&lt;="&amp;AB$7,'Invoices - Preopening'!$C$20:$C$299,'Model - Preopening &amp; Fees'!$B122)</f>
        <v>0</v>
      </c>
      <c r="AC122" s="115">
        <f>SUMIFS('Invoices - Preopening'!$I$20:$I$299,'Invoices - Preopening'!$H$20:$H$299,"&gt;="&amp;AC$6,'Invoices - Preopening'!$H$20:$H$299,"&lt;="&amp;AC$7,'Invoices - Preopening'!$C$20:$C$299,'Model - Preopening &amp; Fees'!$B122)</f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20000</v>
      </c>
      <c r="AK122" s="9">
        <v>20000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T122" s="24">
        <f t="shared" ref="AT122:BD127" si="120">-SUMIFS($L122:$AR122,$L$5:$AR$5,AT$5)</f>
        <v>0</v>
      </c>
      <c r="AU122" s="24">
        <f t="shared" si="120"/>
        <v>0</v>
      </c>
      <c r="AV122" s="24">
        <f t="shared" si="120"/>
        <v>0</v>
      </c>
      <c r="AW122" s="24">
        <f t="shared" si="120"/>
        <v>0</v>
      </c>
      <c r="AX122" s="24">
        <f t="shared" si="120"/>
        <v>0</v>
      </c>
      <c r="AY122" s="1">
        <f t="shared" si="120"/>
        <v>0</v>
      </c>
      <c r="AZ122" s="1">
        <f t="shared" si="120"/>
        <v>0</v>
      </c>
      <c r="BA122" s="1">
        <f t="shared" si="120"/>
        <v>0</v>
      </c>
      <c r="BB122" s="1">
        <f t="shared" si="120"/>
        <v>-40000</v>
      </c>
      <c r="BC122" s="1">
        <f t="shared" si="120"/>
        <v>0</v>
      </c>
      <c r="BD122" s="1">
        <f t="shared" si="120"/>
        <v>0</v>
      </c>
      <c r="BF122" s="1">
        <f t="shared" ref="BF122:BF138" si="121">SUM(AT122:BD122)</f>
        <v>-40000</v>
      </c>
    </row>
    <row r="123" spans="1:58" x14ac:dyDescent="0.25">
      <c r="A123">
        <v>1</v>
      </c>
      <c r="B123" s="21" t="s">
        <v>275</v>
      </c>
      <c r="C123" s="21"/>
      <c r="D123" s="2" t="s">
        <v>171</v>
      </c>
      <c r="E123" s="2" t="s">
        <v>174</v>
      </c>
      <c r="F123" s="9">
        <v>2500</v>
      </c>
      <c r="G123" s="59">
        <f t="shared" si="117"/>
        <v>0</v>
      </c>
      <c r="H123" s="59">
        <f t="shared" si="118"/>
        <v>2500</v>
      </c>
      <c r="J123" s="1">
        <f t="shared" ref="J123:J124" si="122">SUM(L123:AR123)</f>
        <v>2500</v>
      </c>
      <c r="L123" s="115">
        <f>SUMIFS('Invoices - Preopening'!$I$20:$I$299,'Invoices - Preopening'!$H$20:$H$299,"&gt;="&amp;L$6,'Invoices - Preopening'!$H$20:$H$299,"&lt;="&amp;L$7,'Invoices - Preopening'!$C$20:$C$299,'Model - Preopening &amp; Fees'!$B123)</f>
        <v>0</v>
      </c>
      <c r="M123" s="115">
        <f>SUMIFS('Invoices - Preopening'!$I$20:$I$299,'Invoices - Preopening'!$H$20:$H$299,"&gt;="&amp;M$6,'Invoices - Preopening'!$H$20:$H$299,"&lt;="&amp;M$7,'Invoices - Preopening'!$C$20:$C$299,'Model - Preopening &amp; Fees'!$B123)</f>
        <v>0</v>
      </c>
      <c r="N123" s="115">
        <f>SUMIFS('Invoices - Preopening'!$I$20:$I$299,'Invoices - Preopening'!$H$20:$H$299,"&gt;="&amp;N$6,'Invoices - Preopening'!$H$20:$H$299,"&lt;="&amp;N$7,'Invoices - Preopening'!$C$20:$C$299,'Model - Preopening &amp; Fees'!$B123)</f>
        <v>0</v>
      </c>
      <c r="O123" s="115">
        <f>SUMIFS('Invoices - Preopening'!$I$20:$I$299,'Invoices - Preopening'!$H$20:$H$299,"&gt;="&amp;O$6,'Invoices - Preopening'!$H$20:$H$299,"&lt;="&amp;O$7,'Invoices - Preopening'!$C$20:$C$299,'Model - Preopening &amp; Fees'!$B123)</f>
        <v>0</v>
      </c>
      <c r="P123" s="115">
        <f>SUMIFS('Invoices - Preopening'!$I$20:$I$299,'Invoices - Preopening'!$H$20:$H$299,"&gt;="&amp;P$6,'Invoices - Preopening'!$H$20:$H$299,"&lt;="&amp;P$7,'Invoices - Preopening'!$C$20:$C$299,'Model - Preopening &amp; Fees'!$B123)</f>
        <v>0</v>
      </c>
      <c r="Q123" s="115">
        <f>SUMIFS('Invoices - Preopening'!$I$20:$I$299,'Invoices - Preopening'!$H$20:$H$299,"&gt;="&amp;Q$6,'Invoices - Preopening'!$H$20:$H$299,"&lt;="&amp;Q$7,'Invoices - Preopening'!$C$20:$C$299,'Model - Preopening &amp; Fees'!$B123)</f>
        <v>0</v>
      </c>
      <c r="R123" s="115">
        <f>SUMIFS('Invoices - Preopening'!$I$20:$I$299,'Invoices - Preopening'!$H$20:$H$299,"&gt;="&amp;R$6,'Invoices - Preopening'!$H$20:$H$299,"&lt;="&amp;R$7,'Invoices - Preopening'!$C$20:$C$299,'Model - Preopening &amp; Fees'!$B123)</f>
        <v>0</v>
      </c>
      <c r="S123" s="115">
        <f>SUMIFS('Invoices - Preopening'!$I$20:$I$299,'Invoices - Preopening'!$H$20:$H$299,"&gt;="&amp;S$6,'Invoices - Preopening'!$H$20:$H$299,"&lt;="&amp;S$7,'Invoices - Preopening'!$C$20:$C$299,'Model - Preopening &amp; Fees'!$B123)</f>
        <v>0</v>
      </c>
      <c r="T123" s="115">
        <f>SUMIFS('Invoices - Preopening'!$I$20:$I$299,'Invoices - Preopening'!$H$20:$H$299,"&gt;="&amp;T$6,'Invoices - Preopening'!$H$20:$H$299,"&lt;="&amp;T$7,'Invoices - Preopening'!$C$20:$C$299,'Model - Preopening &amp; Fees'!$B123)</f>
        <v>0</v>
      </c>
      <c r="U123" s="115">
        <f>SUMIFS('Invoices - Preopening'!$I$20:$I$299,'Invoices - Preopening'!$H$20:$H$299,"&gt;="&amp;U$6,'Invoices - Preopening'!$H$20:$H$299,"&lt;="&amp;U$7,'Invoices - Preopening'!$C$20:$C$299,'Model - Preopening &amp; Fees'!$B123)</f>
        <v>0</v>
      </c>
      <c r="V123" s="115">
        <f>SUMIFS('Invoices - Preopening'!$I$20:$I$299,'Invoices - Preopening'!$H$20:$H$299,"&gt;="&amp;V$6,'Invoices - Preopening'!$H$20:$H$299,"&lt;="&amp;V$7,'Invoices - Preopening'!$C$20:$C$299,'Model - Preopening &amp; Fees'!$B123)</f>
        <v>0</v>
      </c>
      <c r="W123" s="115">
        <f>SUMIFS('Invoices - Preopening'!$I$20:$I$299,'Invoices - Preopening'!$H$20:$H$299,"&gt;="&amp;W$6,'Invoices - Preopening'!$H$20:$H$299,"&lt;="&amp;W$7,'Invoices - Preopening'!$C$20:$C$299,'Model - Preopening &amp; Fees'!$B123)</f>
        <v>0</v>
      </c>
      <c r="X123" s="115">
        <f>SUMIFS('Invoices - Preopening'!$I$20:$I$299,'Invoices - Preopening'!$H$20:$H$299,"&gt;="&amp;X$6,'Invoices - Preopening'!$H$20:$H$299,"&lt;="&amp;X$7,'Invoices - Preopening'!$C$20:$C$299,'Model - Preopening &amp; Fees'!$B123)</f>
        <v>0</v>
      </c>
      <c r="Y123" s="115">
        <f>SUMIFS('Invoices - Preopening'!$I$20:$I$299,'Invoices - Preopening'!$H$20:$H$299,"&gt;="&amp;Y$6,'Invoices - Preopening'!$H$20:$H$299,"&lt;="&amp;Y$7,'Invoices - Preopening'!$C$20:$C$299,'Model - Preopening &amp; Fees'!$B123)</f>
        <v>0</v>
      </c>
      <c r="Z123" s="115">
        <f>SUMIFS('Invoices - Preopening'!$I$20:$I$299,'Invoices - Preopening'!$H$20:$H$299,"&gt;="&amp;Z$6,'Invoices - Preopening'!$H$20:$H$299,"&lt;="&amp;Z$7,'Invoices - Preopening'!$C$20:$C$299,'Model - Preopening &amp; Fees'!$B123)</f>
        <v>0</v>
      </c>
      <c r="AA123" s="115">
        <f>SUMIFS('Invoices - Preopening'!$I$20:$I$299,'Invoices - Preopening'!$H$20:$H$299,"&gt;="&amp;AA$6,'Invoices - Preopening'!$H$20:$H$299,"&lt;="&amp;AA$7,'Invoices - Preopening'!$C$20:$C$299,'Model - Preopening &amp; Fees'!$B123)</f>
        <v>0</v>
      </c>
      <c r="AB123" s="115">
        <f>SUMIFS('Invoices - Preopening'!$I$20:$I$299,'Invoices - Preopening'!$H$20:$H$299,"&gt;="&amp;AB$6,'Invoices - Preopening'!$H$20:$H$299,"&lt;="&amp;AB$7,'Invoices - Preopening'!$C$20:$C$299,'Model - Preopening &amp; Fees'!$B123)</f>
        <v>0</v>
      </c>
      <c r="AC123" s="115">
        <f>SUMIFS('Invoices - Preopening'!$I$20:$I$299,'Invoices - Preopening'!$H$20:$H$299,"&gt;="&amp;AC$6,'Invoices - Preopening'!$H$20:$H$299,"&lt;="&amp;AC$7,'Invoices - Preopening'!$C$20:$C$299,'Model - Preopening &amp; Fees'!$B123)</f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500</v>
      </c>
      <c r="AK123" s="9">
        <v>2000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T123" s="24">
        <f t="shared" si="120"/>
        <v>0</v>
      </c>
      <c r="AU123" s="24">
        <f t="shared" si="120"/>
        <v>0</v>
      </c>
      <c r="AV123" s="24">
        <f t="shared" si="120"/>
        <v>0</v>
      </c>
      <c r="AW123" s="24">
        <f t="shared" si="120"/>
        <v>0</v>
      </c>
      <c r="AX123" s="24">
        <f t="shared" si="120"/>
        <v>0</v>
      </c>
      <c r="AY123" s="1">
        <f t="shared" si="120"/>
        <v>0</v>
      </c>
      <c r="AZ123" s="1">
        <f t="shared" si="120"/>
        <v>0</v>
      </c>
      <c r="BA123" s="1">
        <f t="shared" si="120"/>
        <v>0</v>
      </c>
      <c r="BB123" s="1">
        <f t="shared" si="120"/>
        <v>-2500</v>
      </c>
      <c r="BC123" s="1">
        <f t="shared" si="120"/>
        <v>0</v>
      </c>
      <c r="BD123" s="1">
        <f t="shared" si="120"/>
        <v>0</v>
      </c>
      <c r="BF123" s="1">
        <f t="shared" ref="BF123" si="123">SUM(AT123:BD123)</f>
        <v>-2500</v>
      </c>
    </row>
    <row r="124" spans="1:58" x14ac:dyDescent="0.25">
      <c r="A124">
        <v>1</v>
      </c>
      <c r="B124" s="21" t="s">
        <v>273</v>
      </c>
      <c r="C124" s="21"/>
      <c r="D124" s="2" t="s">
        <v>171</v>
      </c>
      <c r="E124" s="2" t="s">
        <v>174</v>
      </c>
      <c r="F124" s="9">
        <v>25000</v>
      </c>
      <c r="G124" s="59"/>
      <c r="H124" s="59">
        <f t="shared" si="118"/>
        <v>30000</v>
      </c>
      <c r="J124" s="1">
        <f t="shared" si="122"/>
        <v>30000</v>
      </c>
      <c r="L124" s="115">
        <f>SUMIFS('Invoices - Preopening'!$I$20:$I$299,'Invoices - Preopening'!$H$20:$H$299,"&gt;="&amp;L$6,'Invoices - Preopening'!$H$20:$H$299,"&lt;="&amp;L$7,'Invoices - Preopening'!$C$20:$C$299,'Model - Preopening &amp; Fees'!$B124)</f>
        <v>0</v>
      </c>
      <c r="M124" s="115">
        <f>SUMIFS('Invoices - Preopening'!$I$20:$I$299,'Invoices - Preopening'!$H$20:$H$299,"&gt;="&amp;M$6,'Invoices - Preopening'!$H$20:$H$299,"&lt;="&amp;M$7,'Invoices - Preopening'!$C$20:$C$299,'Model - Preopening &amp; Fees'!$B124)</f>
        <v>0</v>
      </c>
      <c r="N124" s="115">
        <f>SUMIFS('Invoices - Preopening'!$I$20:$I$299,'Invoices - Preopening'!$H$20:$H$299,"&gt;="&amp;N$6,'Invoices - Preopening'!$H$20:$H$299,"&lt;="&amp;N$7,'Invoices - Preopening'!$C$20:$C$299,'Model - Preopening &amp; Fees'!$B124)</f>
        <v>0</v>
      </c>
      <c r="O124" s="115">
        <f>SUMIFS('Invoices - Preopening'!$I$20:$I$299,'Invoices - Preopening'!$H$20:$H$299,"&gt;="&amp;O$6,'Invoices - Preopening'!$H$20:$H$299,"&lt;="&amp;O$7,'Invoices - Preopening'!$C$20:$C$299,'Model - Preopening &amp; Fees'!$B124)</f>
        <v>0</v>
      </c>
      <c r="P124" s="115">
        <f>SUMIFS('Invoices - Preopening'!$I$20:$I$299,'Invoices - Preopening'!$H$20:$H$299,"&gt;="&amp;P$6,'Invoices - Preopening'!$H$20:$H$299,"&lt;="&amp;P$7,'Invoices - Preopening'!$C$20:$C$299,'Model - Preopening &amp; Fees'!$B124)</f>
        <v>0</v>
      </c>
      <c r="Q124" s="115">
        <f>SUMIFS('Invoices - Preopening'!$I$20:$I$299,'Invoices - Preopening'!$H$20:$H$299,"&gt;="&amp;Q$6,'Invoices - Preopening'!$H$20:$H$299,"&lt;="&amp;Q$7,'Invoices - Preopening'!$C$20:$C$299,'Model - Preopening &amp; Fees'!$B124)</f>
        <v>0</v>
      </c>
      <c r="R124" s="115">
        <f>SUMIFS('Invoices - Preopening'!$I$20:$I$299,'Invoices - Preopening'!$H$20:$H$299,"&gt;="&amp;R$6,'Invoices - Preopening'!$H$20:$H$299,"&lt;="&amp;R$7,'Invoices - Preopening'!$C$20:$C$299,'Model - Preopening &amp; Fees'!$B124)</f>
        <v>0</v>
      </c>
      <c r="S124" s="115">
        <f>SUMIFS('Invoices - Preopening'!$I$20:$I$299,'Invoices - Preopening'!$H$20:$H$299,"&gt;="&amp;S$6,'Invoices - Preopening'!$H$20:$H$299,"&lt;="&amp;S$7,'Invoices - Preopening'!$C$20:$C$299,'Model - Preopening &amp; Fees'!$B124)</f>
        <v>0</v>
      </c>
      <c r="T124" s="115">
        <f>SUMIFS('Invoices - Preopening'!$I$20:$I$299,'Invoices - Preopening'!$H$20:$H$299,"&gt;="&amp;T$6,'Invoices - Preopening'!$H$20:$H$299,"&lt;="&amp;T$7,'Invoices - Preopening'!$C$20:$C$299,'Model - Preopening &amp; Fees'!$B124)</f>
        <v>0</v>
      </c>
      <c r="U124" s="115">
        <f>SUMIFS('Invoices - Preopening'!$I$20:$I$299,'Invoices - Preopening'!$H$20:$H$299,"&gt;="&amp;U$6,'Invoices - Preopening'!$H$20:$H$299,"&lt;="&amp;U$7,'Invoices - Preopening'!$C$20:$C$299,'Model - Preopening &amp; Fees'!$B124)</f>
        <v>0</v>
      </c>
      <c r="V124" s="115">
        <f>SUMIFS('Invoices - Preopening'!$I$20:$I$299,'Invoices - Preopening'!$H$20:$H$299,"&gt;="&amp;V$6,'Invoices - Preopening'!$H$20:$H$299,"&lt;="&amp;V$7,'Invoices - Preopening'!$C$20:$C$299,'Model - Preopening &amp; Fees'!$B124)</f>
        <v>0</v>
      </c>
      <c r="W124" s="115">
        <f>SUMIFS('Invoices - Preopening'!$I$20:$I$299,'Invoices - Preopening'!$H$20:$H$299,"&gt;="&amp;W$6,'Invoices - Preopening'!$H$20:$H$299,"&lt;="&amp;W$7,'Invoices - Preopening'!$C$20:$C$299,'Model - Preopening &amp; Fees'!$B124)</f>
        <v>0</v>
      </c>
      <c r="X124" s="115">
        <f>SUMIFS('Invoices - Preopening'!$I$20:$I$299,'Invoices - Preopening'!$H$20:$H$299,"&gt;="&amp;X$6,'Invoices - Preopening'!$H$20:$H$299,"&lt;="&amp;X$7,'Invoices - Preopening'!$C$20:$C$299,'Model - Preopening &amp; Fees'!$B124)</f>
        <v>0</v>
      </c>
      <c r="Y124" s="115">
        <f>SUMIFS('Invoices - Preopening'!$I$20:$I$299,'Invoices - Preopening'!$H$20:$H$299,"&gt;="&amp;Y$6,'Invoices - Preopening'!$H$20:$H$299,"&lt;="&amp;Y$7,'Invoices - Preopening'!$C$20:$C$299,'Model - Preopening &amp; Fees'!$B124)</f>
        <v>0</v>
      </c>
      <c r="Z124" s="115">
        <f>SUMIFS('Invoices - Preopening'!$I$20:$I$299,'Invoices - Preopening'!$H$20:$H$299,"&gt;="&amp;Z$6,'Invoices - Preopening'!$H$20:$H$299,"&lt;="&amp;Z$7,'Invoices - Preopening'!$C$20:$C$299,'Model - Preopening &amp; Fees'!$B124)</f>
        <v>0</v>
      </c>
      <c r="AA124" s="115">
        <f>SUMIFS('Invoices - Preopening'!$I$20:$I$299,'Invoices - Preopening'!$H$20:$H$299,"&gt;="&amp;AA$6,'Invoices - Preopening'!$H$20:$H$299,"&lt;="&amp;AA$7,'Invoices - Preopening'!$C$20:$C$299,'Model - Preopening &amp; Fees'!$B124)</f>
        <v>0</v>
      </c>
      <c r="AB124" s="115">
        <f>SUMIFS('Invoices - Preopening'!$I$20:$I$299,'Invoices - Preopening'!$H$20:$H$299,"&gt;="&amp;AB$6,'Invoices - Preopening'!$H$20:$H$299,"&lt;="&amp;AB$7,'Invoices - Preopening'!$C$20:$C$299,'Model - Preopening &amp; Fees'!$B124)</f>
        <v>0</v>
      </c>
      <c r="AC124" s="115">
        <f>SUMIFS('Invoices - Preopening'!$I$20:$I$299,'Invoices - Preopening'!$H$20:$H$299,"&gt;="&amp;AC$6,'Invoices - Preopening'!$H$20:$H$299,"&lt;="&amp;AC$7,'Invoices - Preopening'!$C$20:$C$299,'Model - Preopening &amp; Fees'!$B124)</f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10000</v>
      </c>
      <c r="AK124" s="9">
        <v>20000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T124" s="24"/>
      <c r="AU124" s="24"/>
      <c r="AV124" s="24"/>
      <c r="AW124" s="24"/>
      <c r="AX124" s="24"/>
      <c r="AY124" s="1"/>
      <c r="AZ124" s="1"/>
      <c r="BA124" s="1"/>
      <c r="BB124" s="1"/>
      <c r="BC124" s="1"/>
      <c r="BD124" s="1"/>
      <c r="BF124" s="1"/>
    </row>
    <row r="125" spans="1:58" x14ac:dyDescent="0.25">
      <c r="A125">
        <v>1</v>
      </c>
      <c r="B125" s="21" t="s">
        <v>274</v>
      </c>
      <c r="C125" s="21"/>
      <c r="D125" s="2" t="s">
        <v>171</v>
      </c>
      <c r="E125" s="2" t="s">
        <v>174</v>
      </c>
      <c r="F125" s="9">
        <v>40000</v>
      </c>
      <c r="G125" s="59">
        <f>SUMIFS($L125:$AR125,$L$7:$AR$7,"&lt;="&amp;$J$4)</f>
        <v>2364</v>
      </c>
      <c r="H125" s="59">
        <f t="shared" si="118"/>
        <v>37636</v>
      </c>
      <c r="J125" s="1">
        <f t="shared" si="119"/>
        <v>40000</v>
      </c>
      <c r="L125" s="115">
        <f>SUMIFS('Invoices - Preopening'!$I$20:$I$299,'Invoices - Preopening'!$H$20:$H$299,"&gt;="&amp;L$6,'Invoices - Preopening'!$H$20:$H$299,"&lt;="&amp;L$7,'Invoices - Preopening'!$C$20:$C$299,'Model - Preopening &amp; Fees'!$B125)</f>
        <v>0</v>
      </c>
      <c r="M125" s="115">
        <f>SUMIFS('Invoices - Preopening'!$I$20:$I$299,'Invoices - Preopening'!$H$20:$H$299,"&gt;="&amp;M$6,'Invoices - Preopening'!$H$20:$H$299,"&lt;="&amp;M$7,'Invoices - Preopening'!$C$20:$C$299,'Model - Preopening &amp; Fees'!$B125)</f>
        <v>0</v>
      </c>
      <c r="N125" s="115">
        <f>SUMIFS('Invoices - Preopening'!$I$20:$I$299,'Invoices - Preopening'!$H$20:$H$299,"&gt;="&amp;N$6,'Invoices - Preopening'!$H$20:$H$299,"&lt;="&amp;N$7,'Invoices - Preopening'!$C$20:$C$299,'Model - Preopening &amp; Fees'!$B125)</f>
        <v>0</v>
      </c>
      <c r="O125" s="115">
        <f>SUMIFS('Invoices - Preopening'!$I$20:$I$299,'Invoices - Preopening'!$H$20:$H$299,"&gt;="&amp;O$6,'Invoices - Preopening'!$H$20:$H$299,"&lt;="&amp;O$7,'Invoices - Preopening'!$C$20:$C$299,'Model - Preopening &amp; Fees'!$B125)</f>
        <v>0</v>
      </c>
      <c r="P125" s="115">
        <f>SUMIFS('Invoices - Preopening'!$I$20:$I$299,'Invoices - Preopening'!$H$20:$H$299,"&gt;="&amp;P$6,'Invoices - Preopening'!$H$20:$H$299,"&lt;="&amp;P$7,'Invoices - Preopening'!$C$20:$C$299,'Model - Preopening &amp; Fees'!$B125)</f>
        <v>0</v>
      </c>
      <c r="Q125" s="115">
        <f>SUMIFS('Invoices - Preopening'!$I$20:$I$299,'Invoices - Preopening'!$H$20:$H$299,"&gt;="&amp;Q$6,'Invoices - Preopening'!$H$20:$H$299,"&lt;="&amp;Q$7,'Invoices - Preopening'!$C$20:$C$299,'Model - Preopening &amp; Fees'!$B125)</f>
        <v>0</v>
      </c>
      <c r="R125" s="115">
        <f>SUMIFS('Invoices - Preopening'!$I$20:$I$299,'Invoices - Preopening'!$H$20:$H$299,"&gt;="&amp;R$6,'Invoices - Preopening'!$H$20:$H$299,"&lt;="&amp;R$7,'Invoices - Preopening'!$C$20:$C$299,'Model - Preopening &amp; Fees'!$B125)</f>
        <v>0</v>
      </c>
      <c r="S125" s="115">
        <f>SUMIFS('Invoices - Preopening'!$I$20:$I$299,'Invoices - Preopening'!$H$20:$H$299,"&gt;="&amp;S$6,'Invoices - Preopening'!$H$20:$H$299,"&lt;="&amp;S$7,'Invoices - Preopening'!$C$20:$C$299,'Model - Preopening &amp; Fees'!$B125)</f>
        <v>0</v>
      </c>
      <c r="T125" s="115">
        <f>SUMIFS('Invoices - Preopening'!$I$20:$I$299,'Invoices - Preopening'!$H$20:$H$299,"&gt;="&amp;T$6,'Invoices - Preopening'!$H$20:$H$299,"&lt;="&amp;T$7,'Invoices - Preopening'!$C$20:$C$299,'Model - Preopening &amp; Fees'!$B125)</f>
        <v>0</v>
      </c>
      <c r="U125" s="115">
        <f>SUMIFS('Invoices - Preopening'!$I$20:$I$299,'Invoices - Preopening'!$H$20:$H$299,"&gt;="&amp;U$6,'Invoices - Preopening'!$H$20:$H$299,"&lt;="&amp;U$7,'Invoices - Preopening'!$C$20:$C$299,'Model - Preopening &amp; Fees'!$B125)</f>
        <v>0</v>
      </c>
      <c r="V125" s="115">
        <f>SUMIFS('Invoices - Preopening'!$I$20:$I$299,'Invoices - Preopening'!$H$20:$H$299,"&gt;="&amp;V$6,'Invoices - Preopening'!$H$20:$H$299,"&lt;="&amp;V$7,'Invoices - Preopening'!$C$20:$C$299,'Model - Preopening &amp; Fees'!$B125)</f>
        <v>0</v>
      </c>
      <c r="W125" s="115">
        <f>SUMIFS('Invoices - Preopening'!$I$20:$I$299,'Invoices - Preopening'!$H$20:$H$299,"&gt;="&amp;W$6,'Invoices - Preopening'!$H$20:$H$299,"&lt;="&amp;W$7,'Invoices - Preopening'!$C$20:$C$299,'Model - Preopening &amp; Fees'!$B125)</f>
        <v>2364</v>
      </c>
      <c r="X125" s="115">
        <f>SUMIFS('Invoices - Preopening'!$I$20:$I$299,'Invoices - Preopening'!$H$20:$H$299,"&gt;="&amp;X$6,'Invoices - Preopening'!$H$20:$H$299,"&lt;="&amp;X$7,'Invoices - Preopening'!$C$20:$C$299,'Model - Preopening &amp; Fees'!$B125)</f>
        <v>0</v>
      </c>
      <c r="Y125" s="115">
        <f>SUMIFS('Invoices - Preopening'!$I$20:$I$299,'Invoices - Preopening'!$H$20:$H$299,"&gt;="&amp;Y$6,'Invoices - Preopening'!$H$20:$H$299,"&lt;="&amp;Y$7,'Invoices - Preopening'!$C$20:$C$299,'Model - Preopening &amp; Fees'!$B125)</f>
        <v>0</v>
      </c>
      <c r="Z125" s="115">
        <f>SUMIFS('Invoices - Preopening'!$I$20:$I$299,'Invoices - Preopening'!$H$20:$H$299,"&gt;="&amp;Z$6,'Invoices - Preopening'!$H$20:$H$299,"&lt;="&amp;Z$7,'Invoices - Preopening'!$C$20:$C$299,'Model - Preopening &amp; Fees'!$B125)</f>
        <v>0</v>
      </c>
      <c r="AA125" s="115">
        <f>SUMIFS('Invoices - Preopening'!$I$20:$I$299,'Invoices - Preopening'!$H$20:$H$299,"&gt;="&amp;AA$6,'Invoices - Preopening'!$H$20:$H$299,"&lt;="&amp;AA$7,'Invoices - Preopening'!$C$20:$C$299,'Model - Preopening &amp; Fees'!$B125)</f>
        <v>0</v>
      </c>
      <c r="AB125" s="115">
        <f>SUMIFS('Invoices - Preopening'!$I$20:$I$299,'Invoices - Preopening'!$H$20:$H$299,"&gt;="&amp;AB$6,'Invoices - Preopening'!$H$20:$H$299,"&lt;="&amp;AB$7,'Invoices - Preopening'!$C$20:$C$299,'Model - Preopening &amp; Fees'!$B125)</f>
        <v>0</v>
      </c>
      <c r="AC125" s="115">
        <f>SUMIFS('Invoices - Preopening'!$I$20:$I$299,'Invoices - Preopening'!$H$20:$H$299,"&gt;="&amp;AC$6,'Invoices - Preopening'!$H$20:$H$299,"&lt;="&amp;AC$7,'Invoices - Preopening'!$C$20:$C$299,'Model - Preopening &amp; Fees'!$B125)</f>
        <v>0</v>
      </c>
      <c r="AD125" s="9">
        <v>3000</v>
      </c>
      <c r="AE125" s="9">
        <f>2500-364</f>
        <v>2136</v>
      </c>
      <c r="AF125" s="9">
        <v>2500</v>
      </c>
      <c r="AG125" s="9">
        <v>3000</v>
      </c>
      <c r="AH125" s="9">
        <v>4000</v>
      </c>
      <c r="AI125" s="9">
        <v>6000</v>
      </c>
      <c r="AJ125" s="9">
        <v>8000</v>
      </c>
      <c r="AK125" s="9">
        <v>9000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T125" s="24">
        <f t="shared" si="120"/>
        <v>0</v>
      </c>
      <c r="AU125" s="24">
        <f t="shared" si="120"/>
        <v>0</v>
      </c>
      <c r="AV125" s="24">
        <f t="shared" si="120"/>
        <v>0</v>
      </c>
      <c r="AW125" s="24">
        <f t="shared" si="120"/>
        <v>-2364</v>
      </c>
      <c r="AX125" s="24">
        <f t="shared" si="120"/>
        <v>0</v>
      </c>
      <c r="AY125" s="1">
        <f t="shared" si="120"/>
        <v>0</v>
      </c>
      <c r="AZ125" s="1">
        <f t="shared" si="120"/>
        <v>-7636</v>
      </c>
      <c r="BA125" s="1">
        <f t="shared" si="120"/>
        <v>-13000</v>
      </c>
      <c r="BB125" s="1">
        <f t="shared" si="120"/>
        <v>-17000</v>
      </c>
      <c r="BC125" s="1">
        <f t="shared" si="120"/>
        <v>0</v>
      </c>
      <c r="BD125" s="1">
        <f t="shared" si="120"/>
        <v>0</v>
      </c>
      <c r="BF125" s="1">
        <f t="shared" si="121"/>
        <v>-40000</v>
      </c>
    </row>
    <row r="126" spans="1:58" x14ac:dyDescent="0.25">
      <c r="A126">
        <v>1</v>
      </c>
      <c r="B126" s="21" t="s">
        <v>175</v>
      </c>
      <c r="C126" s="21"/>
      <c r="D126" s="2" t="s">
        <v>171</v>
      </c>
      <c r="E126" s="2" t="s">
        <v>174</v>
      </c>
      <c r="F126" s="9">
        <v>76800</v>
      </c>
      <c r="G126" s="59">
        <f t="shared" si="117"/>
        <v>15235.03</v>
      </c>
      <c r="H126" s="59">
        <f t="shared" si="118"/>
        <v>51200</v>
      </c>
      <c r="J126" s="1">
        <f>SUM(L126:AR126)</f>
        <v>66435.03</v>
      </c>
      <c r="L126" s="115">
        <f>SUMIFS('Invoices - Preopening'!$I$20:$I$299,'Invoices - Preopening'!$H$20:$H$299,"&gt;="&amp;L$6,'Invoices - Preopening'!$H$20:$H$299,"&lt;="&amp;L$7,'Invoices - Preopening'!$C$20:$C$299,'Model - Preopening &amp; Fees'!$B126)</f>
        <v>0</v>
      </c>
      <c r="M126" s="115">
        <f>SUMIFS('Invoices - Preopening'!$I$20:$I$299,'Invoices - Preopening'!$H$20:$H$299,"&gt;="&amp;M$6,'Invoices - Preopening'!$H$20:$H$299,"&lt;="&amp;M$7,'Invoices - Preopening'!$C$20:$C$299,'Model - Preopening &amp; Fees'!$B126)</f>
        <v>0</v>
      </c>
      <c r="N126" s="115">
        <f>SUMIFS('Invoices - Preopening'!$I$20:$I$299,'Invoices - Preopening'!$H$20:$H$299,"&gt;="&amp;N$6,'Invoices - Preopening'!$H$20:$H$299,"&lt;="&amp;N$7,'Invoices - Preopening'!$C$20:$C$299,'Model - Preopening &amp; Fees'!$B126)</f>
        <v>0</v>
      </c>
      <c r="O126" s="115">
        <f>SUMIFS('Invoices - Preopening'!$I$20:$I$299,'Invoices - Preopening'!$H$20:$H$299,"&gt;="&amp;O$6,'Invoices - Preopening'!$H$20:$H$299,"&lt;="&amp;O$7,'Invoices - Preopening'!$C$20:$C$299,'Model - Preopening &amp; Fees'!$B126)</f>
        <v>0</v>
      </c>
      <c r="P126" s="115">
        <f>SUMIFS('Invoices - Preopening'!$I$20:$I$299,'Invoices - Preopening'!$H$20:$H$299,"&gt;="&amp;P$6,'Invoices - Preopening'!$H$20:$H$299,"&lt;="&amp;P$7,'Invoices - Preopening'!$C$20:$C$299,'Model - Preopening &amp; Fees'!$B126)</f>
        <v>0</v>
      </c>
      <c r="Q126" s="115">
        <f>SUMIFS('Invoices - Preopening'!$I$20:$I$299,'Invoices - Preopening'!$H$20:$H$299,"&gt;="&amp;Q$6,'Invoices - Preopening'!$H$20:$H$299,"&lt;="&amp;Q$7,'Invoices - Preopening'!$C$20:$C$299,'Model - Preopening &amp; Fees'!$B126)</f>
        <v>0</v>
      </c>
      <c r="R126" s="115">
        <f>SUMIFS('Invoices - Preopening'!$I$20:$I$299,'Invoices - Preopening'!$H$20:$H$299,"&gt;="&amp;R$6,'Invoices - Preopening'!$H$20:$H$299,"&lt;="&amp;R$7,'Invoices - Preopening'!$C$20:$C$299,'Model - Preopening &amp; Fees'!$B126)</f>
        <v>0</v>
      </c>
      <c r="S126" s="115">
        <f>SUMIFS('Invoices - Preopening'!$I$20:$I$299,'Invoices - Preopening'!$H$20:$H$299,"&gt;="&amp;S$6,'Invoices - Preopening'!$H$20:$H$299,"&lt;="&amp;S$7,'Invoices - Preopening'!$C$20:$C$299,'Model - Preopening &amp; Fees'!$B126)</f>
        <v>0</v>
      </c>
      <c r="T126" s="115">
        <f>SUMIFS('Invoices - Preopening'!$I$20:$I$299,'Invoices - Preopening'!$H$20:$H$299,"&gt;="&amp;T$6,'Invoices - Preopening'!$H$20:$H$299,"&lt;="&amp;T$7,'Invoices - Preopening'!$C$20:$C$299,'Model - Preopening &amp; Fees'!$B126)</f>
        <v>0</v>
      </c>
      <c r="U126" s="115">
        <f>SUMIFS('Invoices - Preopening'!$I$20:$I$299,'Invoices - Preopening'!$H$20:$H$299,"&gt;="&amp;U$6,'Invoices - Preopening'!$H$20:$H$299,"&lt;="&amp;U$7,'Invoices - Preopening'!$C$20:$C$299,'Model - Preopening &amp; Fees'!$B126)</f>
        <v>0</v>
      </c>
      <c r="V126" s="115">
        <f>SUMIFS('Invoices - Preopening'!$I$20:$I$299,'Invoices - Preopening'!$H$20:$H$299,"&gt;="&amp;V$6,'Invoices - Preopening'!$H$20:$H$299,"&lt;="&amp;V$7,'Invoices - Preopening'!$C$20:$C$299,'Model - Preopening &amp; Fees'!$B126)</f>
        <v>0</v>
      </c>
      <c r="W126" s="115">
        <f>SUMIFS('Invoices - Preopening'!$I$20:$I$299,'Invoices - Preopening'!$H$20:$H$299,"&gt;="&amp;W$6,'Invoices - Preopening'!$H$20:$H$299,"&lt;="&amp;W$7,'Invoices - Preopening'!$C$20:$C$299,'Model - Preopening &amp; Fees'!$B126)</f>
        <v>0</v>
      </c>
      <c r="X126" s="115">
        <f>SUMIFS('Invoices - Preopening'!$I$20:$I$299,'Invoices - Preopening'!$H$20:$H$299,"&gt;="&amp;X$6,'Invoices - Preopening'!$H$20:$H$299,"&lt;="&amp;X$7,'Invoices - Preopening'!$C$20:$C$299,'Model - Preopening &amp; Fees'!$B126)</f>
        <v>0</v>
      </c>
      <c r="Y126" s="115">
        <f>SUMIFS('Invoices - Preopening'!$I$20:$I$299,'Invoices - Preopening'!$H$20:$H$299,"&gt;="&amp;Y$6,'Invoices - Preopening'!$H$20:$H$299,"&lt;="&amp;Y$7,'Invoices - Preopening'!$C$20:$C$299,'Model - Preopening &amp; Fees'!$B126)</f>
        <v>0</v>
      </c>
      <c r="Z126" s="115">
        <f>SUMIFS('Invoices - Preopening'!$I$20:$I$299,'Invoices - Preopening'!$H$20:$H$299,"&gt;="&amp;Z$6,'Invoices - Preopening'!$H$20:$H$299,"&lt;="&amp;Z$7,'Invoices - Preopening'!$C$20:$C$299,'Model - Preopening &amp; Fees'!$B126)</f>
        <v>0</v>
      </c>
      <c r="AA126" s="115">
        <f>SUMIFS('Invoices - Preopening'!$I$20:$I$299,'Invoices - Preopening'!$H$20:$H$299,"&gt;="&amp;AA$6,'Invoices - Preopening'!$H$20:$H$299,"&lt;="&amp;AA$7,'Invoices - Preopening'!$C$20:$C$299,'Model - Preopening &amp; Fees'!$B126)</f>
        <v>0</v>
      </c>
      <c r="AB126" s="115">
        <f>SUMIFS('Invoices - Preopening'!$I$20:$I$299,'Invoices - Preopening'!$H$20:$H$299,"&gt;="&amp;AB$6,'Invoices - Preopening'!$H$20:$H$299,"&lt;="&amp;AB$7,'Invoices - Preopening'!$C$20:$C$299,'Model - Preopening &amp; Fees'!$B126)</f>
        <v>8835.0300000000007</v>
      </c>
      <c r="AC126" s="115">
        <f>SUMIFS('Invoices - Preopening'!$I$20:$I$299,'Invoices - Preopening'!$H$20:$H$299,"&gt;="&amp;AC$6,'Invoices - Preopening'!$H$20:$H$299,"&lt;="&amp;AC$7,'Invoices - Preopening'!$C$20:$C$299,'Model - Preopening &amp; Fees'!$B126)</f>
        <v>6400</v>
      </c>
      <c r="AD126" s="9">
        <v>6400</v>
      </c>
      <c r="AE126" s="9">
        <v>6400</v>
      </c>
      <c r="AF126" s="9">
        <v>6400</v>
      </c>
      <c r="AG126" s="9">
        <v>6400</v>
      </c>
      <c r="AH126" s="9">
        <v>6400</v>
      </c>
      <c r="AI126" s="9">
        <v>6400</v>
      </c>
      <c r="AJ126" s="9">
        <v>6400</v>
      </c>
      <c r="AK126" s="9">
        <v>6400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T126" s="24">
        <f t="shared" si="120"/>
        <v>0</v>
      </c>
      <c r="AU126" s="24">
        <f t="shared" si="120"/>
        <v>0</v>
      </c>
      <c r="AV126" s="24">
        <f t="shared" si="120"/>
        <v>0</v>
      </c>
      <c r="AW126" s="24">
        <f t="shared" si="120"/>
        <v>0</v>
      </c>
      <c r="AX126" s="24">
        <f t="shared" si="120"/>
        <v>0</v>
      </c>
      <c r="AY126" s="1">
        <f t="shared" si="120"/>
        <v>-15235.03</v>
      </c>
      <c r="AZ126" s="1">
        <f t="shared" si="120"/>
        <v>-19200</v>
      </c>
      <c r="BA126" s="1">
        <f t="shared" si="120"/>
        <v>-19200</v>
      </c>
      <c r="BB126" s="1">
        <f t="shared" si="120"/>
        <v>-12800</v>
      </c>
      <c r="BC126" s="1">
        <f t="shared" si="120"/>
        <v>0</v>
      </c>
      <c r="BD126" s="1">
        <f t="shared" si="120"/>
        <v>0</v>
      </c>
      <c r="BF126" s="1">
        <f t="shared" si="121"/>
        <v>-66435.03</v>
      </c>
    </row>
    <row r="127" spans="1:58" x14ac:dyDescent="0.25">
      <c r="B127" s="22" t="s">
        <v>176</v>
      </c>
      <c r="C127" s="22"/>
      <c r="D127" s="54" t="s">
        <v>171</v>
      </c>
      <c r="E127" s="54" t="s">
        <v>169</v>
      </c>
      <c r="F127" s="55">
        <v>0</v>
      </c>
      <c r="G127" s="60">
        <f t="shared" si="117"/>
        <v>0</v>
      </c>
      <c r="H127" s="60">
        <f t="shared" si="118"/>
        <v>0</v>
      </c>
      <c r="J127" s="18">
        <f t="shared" si="119"/>
        <v>0</v>
      </c>
      <c r="L127" s="116">
        <f>SUMIFS('Invoices - Preopening'!$I$20:$I$299,'Invoices - Preopening'!$H$20:$H$299,"&gt;="&amp;L$6,'Invoices - Preopening'!$H$20:$H$299,"&lt;="&amp;L$7,'Invoices - Preopening'!$C$20:$C$299,'Model - Preopening &amp; Fees'!$B127)</f>
        <v>0</v>
      </c>
      <c r="M127" s="116">
        <f>SUMIFS('Invoices - Preopening'!$I$20:$I$299,'Invoices - Preopening'!$H$20:$H$299,"&gt;="&amp;M$6,'Invoices - Preopening'!$H$20:$H$299,"&lt;="&amp;M$7,'Invoices - Preopening'!$C$20:$C$299,'Model - Preopening &amp; Fees'!$B127)</f>
        <v>0</v>
      </c>
      <c r="N127" s="116">
        <f>SUMIFS('Invoices - Preopening'!$I$20:$I$299,'Invoices - Preopening'!$H$20:$H$299,"&gt;="&amp;N$6,'Invoices - Preopening'!$H$20:$H$299,"&lt;="&amp;N$7,'Invoices - Preopening'!$C$20:$C$299,'Model - Preopening &amp; Fees'!$B127)</f>
        <v>0</v>
      </c>
      <c r="O127" s="116">
        <f>SUMIFS('Invoices - Preopening'!$I$20:$I$299,'Invoices - Preopening'!$H$20:$H$299,"&gt;="&amp;O$6,'Invoices - Preopening'!$H$20:$H$299,"&lt;="&amp;O$7,'Invoices - Preopening'!$C$20:$C$299,'Model - Preopening &amp; Fees'!$B127)</f>
        <v>0</v>
      </c>
      <c r="P127" s="116">
        <f>SUMIFS('Invoices - Preopening'!$I$20:$I$299,'Invoices - Preopening'!$H$20:$H$299,"&gt;="&amp;P$6,'Invoices - Preopening'!$H$20:$H$299,"&lt;="&amp;P$7,'Invoices - Preopening'!$C$20:$C$299,'Model - Preopening &amp; Fees'!$B127)</f>
        <v>0</v>
      </c>
      <c r="Q127" s="116">
        <f>SUMIFS('Invoices - Preopening'!$I$20:$I$299,'Invoices - Preopening'!$H$20:$H$299,"&gt;="&amp;Q$6,'Invoices - Preopening'!$H$20:$H$299,"&lt;="&amp;Q$7,'Invoices - Preopening'!$C$20:$C$299,'Model - Preopening &amp; Fees'!$B127)</f>
        <v>0</v>
      </c>
      <c r="R127" s="116">
        <f>SUMIFS('Invoices - Preopening'!$I$20:$I$299,'Invoices - Preopening'!$H$20:$H$299,"&gt;="&amp;R$6,'Invoices - Preopening'!$H$20:$H$299,"&lt;="&amp;R$7,'Invoices - Preopening'!$C$20:$C$299,'Model - Preopening &amp; Fees'!$B127)</f>
        <v>0</v>
      </c>
      <c r="S127" s="116">
        <f>SUMIFS('Invoices - Preopening'!$I$20:$I$299,'Invoices - Preopening'!$H$20:$H$299,"&gt;="&amp;S$6,'Invoices - Preopening'!$H$20:$H$299,"&lt;="&amp;S$7,'Invoices - Preopening'!$C$20:$C$299,'Model - Preopening &amp; Fees'!$B127)</f>
        <v>0</v>
      </c>
      <c r="T127" s="116">
        <f>SUMIFS('Invoices - Preopening'!$I$20:$I$299,'Invoices - Preopening'!$H$20:$H$299,"&gt;="&amp;T$6,'Invoices - Preopening'!$H$20:$H$299,"&lt;="&amp;T$7,'Invoices - Preopening'!$C$20:$C$299,'Model - Preopening &amp; Fees'!$B127)</f>
        <v>0</v>
      </c>
      <c r="U127" s="116">
        <f>SUMIFS('Invoices - Preopening'!$I$20:$I$299,'Invoices - Preopening'!$H$20:$H$299,"&gt;="&amp;U$6,'Invoices - Preopening'!$H$20:$H$299,"&lt;="&amp;U$7,'Invoices - Preopening'!$C$20:$C$299,'Model - Preopening &amp; Fees'!$B127)</f>
        <v>0</v>
      </c>
      <c r="V127" s="116">
        <f>SUMIFS('Invoices - Preopening'!$I$20:$I$299,'Invoices - Preopening'!$H$20:$H$299,"&gt;="&amp;V$6,'Invoices - Preopening'!$H$20:$H$299,"&lt;="&amp;V$7,'Invoices - Preopening'!$C$20:$C$299,'Model - Preopening &amp; Fees'!$B127)</f>
        <v>0</v>
      </c>
      <c r="W127" s="116">
        <f>SUMIFS('Invoices - Preopening'!$I$20:$I$299,'Invoices - Preopening'!$H$20:$H$299,"&gt;="&amp;W$6,'Invoices - Preopening'!$H$20:$H$299,"&lt;="&amp;W$7,'Invoices - Preopening'!$C$20:$C$299,'Model - Preopening &amp; Fees'!$B127)</f>
        <v>0</v>
      </c>
      <c r="X127" s="116">
        <f>SUMIFS('Invoices - Preopening'!$I$20:$I$299,'Invoices - Preopening'!$H$20:$H$299,"&gt;="&amp;X$6,'Invoices - Preopening'!$H$20:$H$299,"&lt;="&amp;X$7,'Invoices - Preopening'!$C$20:$C$299,'Model - Preopening &amp; Fees'!$B127)</f>
        <v>0</v>
      </c>
      <c r="Y127" s="116">
        <f>SUMIFS('Invoices - Preopening'!$I$20:$I$299,'Invoices - Preopening'!$H$20:$H$299,"&gt;="&amp;Y$6,'Invoices - Preopening'!$H$20:$H$299,"&lt;="&amp;Y$7,'Invoices - Preopening'!$C$20:$C$299,'Model - Preopening &amp; Fees'!$B127)</f>
        <v>0</v>
      </c>
      <c r="Z127" s="116">
        <f>SUMIFS('Invoices - Preopening'!$I$20:$I$299,'Invoices - Preopening'!$H$20:$H$299,"&gt;="&amp;Z$6,'Invoices - Preopening'!$H$20:$H$299,"&lt;="&amp;Z$7,'Invoices - Preopening'!$C$20:$C$299,'Model - Preopening &amp; Fees'!$B127)</f>
        <v>0</v>
      </c>
      <c r="AA127" s="116">
        <f>SUMIFS('Invoices - Preopening'!$I$20:$I$299,'Invoices - Preopening'!$H$20:$H$299,"&gt;="&amp;AA$6,'Invoices - Preopening'!$H$20:$H$299,"&lt;="&amp;AA$7,'Invoices - Preopening'!$C$20:$C$299,'Model - Preopening &amp; Fees'!$B127)</f>
        <v>0</v>
      </c>
      <c r="AB127" s="116">
        <f>SUMIFS('Invoices - Preopening'!$I$20:$I$299,'Invoices - Preopening'!$H$20:$H$299,"&gt;="&amp;AB$6,'Invoices - Preopening'!$H$20:$H$299,"&lt;="&amp;AB$7,'Invoices - Preopening'!$C$20:$C$299,'Model - Preopening &amp; Fees'!$B127)</f>
        <v>0</v>
      </c>
      <c r="AC127" s="116">
        <f>SUMIFS('Invoices - Preopening'!$I$20:$I$299,'Invoices - Preopening'!$H$20:$H$299,"&gt;="&amp;AC$6,'Invoices - Preopening'!$H$20:$H$299,"&lt;="&amp;AC$7,'Invoices - Preopening'!$C$20:$C$299,'Model - Preopening &amp; Fees'!$B127)</f>
        <v>0</v>
      </c>
      <c r="AD127" s="55">
        <v>0</v>
      </c>
      <c r="AE127" s="55">
        <v>0</v>
      </c>
      <c r="AF127" s="55">
        <v>0</v>
      </c>
      <c r="AG127" s="55">
        <v>0</v>
      </c>
      <c r="AH127" s="55">
        <v>0</v>
      </c>
      <c r="AI127" s="55">
        <v>0</v>
      </c>
      <c r="AJ127" s="55">
        <v>0</v>
      </c>
      <c r="AK127" s="55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8">
        <v>0</v>
      </c>
      <c r="AT127" s="25">
        <f t="shared" si="120"/>
        <v>0</v>
      </c>
      <c r="AU127" s="25">
        <f t="shared" si="120"/>
        <v>0</v>
      </c>
      <c r="AV127" s="25">
        <f t="shared" si="120"/>
        <v>0</v>
      </c>
      <c r="AW127" s="25">
        <f t="shared" si="120"/>
        <v>0</v>
      </c>
      <c r="AX127" s="25">
        <f t="shared" si="120"/>
        <v>0</v>
      </c>
      <c r="AY127" s="18">
        <f t="shared" si="120"/>
        <v>0</v>
      </c>
      <c r="AZ127" s="18">
        <f t="shared" si="120"/>
        <v>0</v>
      </c>
      <c r="BA127" s="18">
        <f t="shared" si="120"/>
        <v>0</v>
      </c>
      <c r="BB127" s="18">
        <f t="shared" si="120"/>
        <v>0</v>
      </c>
      <c r="BC127" s="18">
        <f t="shared" si="120"/>
        <v>0</v>
      </c>
      <c r="BD127" s="18">
        <f t="shared" si="120"/>
        <v>0</v>
      </c>
      <c r="BF127" s="18">
        <f t="shared" si="121"/>
        <v>0</v>
      </c>
    </row>
    <row r="128" spans="1:58" s="20" customFormat="1" x14ac:dyDescent="0.25">
      <c r="B128" s="20" t="s">
        <v>177</v>
      </c>
      <c r="F128" s="15">
        <f>SUM(F122:F127)</f>
        <v>184300</v>
      </c>
      <c r="G128" s="15">
        <f t="shared" ref="G128:H128" si="124">SUM(G122:G127)</f>
        <v>17599.03</v>
      </c>
      <c r="H128" s="15">
        <f t="shared" si="124"/>
        <v>161336</v>
      </c>
      <c r="J128" s="15">
        <f t="shared" si="119"/>
        <v>178935.03</v>
      </c>
      <c r="L128" s="15">
        <f>SUM(L122:L127)</f>
        <v>0</v>
      </c>
      <c r="M128" s="15">
        <f t="shared" ref="M128:AR128" si="125">SUM(M122:M127)</f>
        <v>0</v>
      </c>
      <c r="N128" s="15">
        <f t="shared" si="125"/>
        <v>0</v>
      </c>
      <c r="O128" s="15">
        <f t="shared" si="125"/>
        <v>0</v>
      </c>
      <c r="P128" s="15">
        <f t="shared" si="125"/>
        <v>0</v>
      </c>
      <c r="Q128" s="15">
        <f t="shared" si="125"/>
        <v>0</v>
      </c>
      <c r="R128" s="15">
        <f t="shared" si="125"/>
        <v>0</v>
      </c>
      <c r="S128" s="15">
        <f t="shared" si="125"/>
        <v>0</v>
      </c>
      <c r="T128" s="15">
        <f t="shared" si="125"/>
        <v>0</v>
      </c>
      <c r="U128" s="15">
        <f t="shared" si="125"/>
        <v>0</v>
      </c>
      <c r="V128" s="15">
        <f t="shared" si="125"/>
        <v>0</v>
      </c>
      <c r="W128" s="15">
        <f t="shared" si="125"/>
        <v>2364</v>
      </c>
      <c r="X128" s="15">
        <f t="shared" si="125"/>
        <v>0</v>
      </c>
      <c r="Y128" s="15">
        <f t="shared" si="125"/>
        <v>0</v>
      </c>
      <c r="Z128" s="15">
        <f t="shared" si="125"/>
        <v>0</v>
      </c>
      <c r="AA128" s="15">
        <f t="shared" si="125"/>
        <v>0</v>
      </c>
      <c r="AB128" s="15">
        <f t="shared" si="125"/>
        <v>8835.0300000000007</v>
      </c>
      <c r="AC128" s="15">
        <f t="shared" si="125"/>
        <v>6400</v>
      </c>
      <c r="AD128" s="15">
        <f t="shared" si="125"/>
        <v>9400</v>
      </c>
      <c r="AE128" s="15">
        <f t="shared" si="125"/>
        <v>8536</v>
      </c>
      <c r="AF128" s="15">
        <f t="shared" si="125"/>
        <v>8900</v>
      </c>
      <c r="AG128" s="15">
        <f t="shared" si="125"/>
        <v>9400</v>
      </c>
      <c r="AH128" s="15">
        <f t="shared" si="125"/>
        <v>10400</v>
      </c>
      <c r="AI128" s="15">
        <f t="shared" si="125"/>
        <v>12400</v>
      </c>
      <c r="AJ128" s="15">
        <f t="shared" si="125"/>
        <v>44900</v>
      </c>
      <c r="AK128" s="15">
        <f>SUM(AK122:AK127)</f>
        <v>57400</v>
      </c>
      <c r="AL128" s="15">
        <f t="shared" si="125"/>
        <v>0</v>
      </c>
      <c r="AM128" s="15">
        <f t="shared" si="125"/>
        <v>0</v>
      </c>
      <c r="AN128" s="15">
        <f t="shared" si="125"/>
        <v>0</v>
      </c>
      <c r="AO128" s="15">
        <f t="shared" si="125"/>
        <v>0</v>
      </c>
      <c r="AP128" s="15">
        <f t="shared" si="125"/>
        <v>0</v>
      </c>
      <c r="AQ128" s="15">
        <f t="shared" si="125"/>
        <v>0</v>
      </c>
      <c r="AR128" s="15">
        <f t="shared" si="125"/>
        <v>0</v>
      </c>
      <c r="AT128" s="15">
        <f t="shared" ref="AT128" si="126">SUM(AT122:AT127)</f>
        <v>0</v>
      </c>
      <c r="AU128" s="15">
        <f t="shared" ref="AU128" si="127">SUM(AU122:AU127)</f>
        <v>0</v>
      </c>
      <c r="AV128" s="15">
        <f t="shared" ref="AV128" si="128">SUM(AV122:AV127)</f>
        <v>0</v>
      </c>
      <c r="AW128" s="15">
        <f t="shared" ref="AW128" si="129">SUM(AW122:AW127)</f>
        <v>-2364</v>
      </c>
      <c r="AX128" s="15">
        <f t="shared" ref="AX128" si="130">SUM(AX122:AX127)</f>
        <v>0</v>
      </c>
      <c r="AY128" s="15">
        <f t="shared" ref="AY128" si="131">SUM(AY122:AY127)</f>
        <v>-15235.03</v>
      </c>
      <c r="AZ128" s="15">
        <f t="shared" ref="AZ128" si="132">SUM(AZ122:AZ127)</f>
        <v>-26836</v>
      </c>
      <c r="BA128" s="15">
        <f t="shared" ref="BA128" si="133">SUM(BA122:BA127)</f>
        <v>-32200</v>
      </c>
      <c r="BB128" s="15">
        <f t="shared" ref="BB128" si="134">SUM(BB122:BB127)</f>
        <v>-72300</v>
      </c>
      <c r="BC128" s="15">
        <f t="shared" ref="BC128" si="135">SUM(BC122:BC127)</f>
        <v>0</v>
      </c>
      <c r="BD128" s="15">
        <f t="shared" ref="BD128" si="136">SUM(BD122:BD127)</f>
        <v>0</v>
      </c>
      <c r="BF128" s="15">
        <f t="shared" si="121"/>
        <v>-148935.03</v>
      </c>
    </row>
    <row r="130" spans="2:59" x14ac:dyDescent="0.25">
      <c r="B130" s="4" t="s">
        <v>277</v>
      </c>
      <c r="C130" s="4"/>
      <c r="D130" s="53"/>
      <c r="E130" s="53"/>
      <c r="F130" s="53"/>
      <c r="G130" s="53"/>
      <c r="H130" s="53"/>
      <c r="J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140"/>
      <c r="AQ130" s="140"/>
      <c r="AR130" s="140"/>
      <c r="AT130" s="140"/>
      <c r="AU130" s="140"/>
      <c r="AV130" s="140"/>
      <c r="AW130" s="140"/>
      <c r="AX130" s="140"/>
      <c r="AY130" s="140"/>
      <c r="AZ130" s="140"/>
      <c r="BA130" s="140"/>
      <c r="BB130" s="140"/>
      <c r="BC130" s="140"/>
      <c r="BD130" s="140"/>
      <c r="BF130" s="140"/>
    </row>
    <row r="132" spans="2:59" s="20" customFormat="1" x14ac:dyDescent="0.25">
      <c r="B132" s="57" t="s">
        <v>120</v>
      </c>
      <c r="C132" s="57"/>
      <c r="D132" s="58" t="s">
        <v>121</v>
      </c>
      <c r="E132" s="58"/>
      <c r="F132" s="58" t="s">
        <v>120</v>
      </c>
      <c r="G132" s="58" t="s">
        <v>123</v>
      </c>
      <c r="H132" s="58" t="s">
        <v>124</v>
      </c>
      <c r="J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F132" s="58"/>
    </row>
    <row r="133" spans="2:59" x14ac:dyDescent="0.25">
      <c r="B133" s="68" t="s">
        <v>119</v>
      </c>
      <c r="C133" s="68"/>
      <c r="D133" s="2" t="str">
        <f>B133</f>
        <v>Marketing</v>
      </c>
      <c r="E133" s="2" t="s">
        <v>126</v>
      </c>
      <c r="F133" s="1">
        <f>F52</f>
        <v>180083</v>
      </c>
      <c r="G133" s="59">
        <f t="shared" ref="G133:G138" si="137">SUMIFS($L133:$AR133,$L$7:$AR$7,"&lt;="&amp;$J$4)</f>
        <v>1000</v>
      </c>
      <c r="H133" s="59">
        <f t="shared" ref="H133:H138" si="138">J133-G133</f>
        <v>150632</v>
      </c>
      <c r="J133" s="1">
        <f t="shared" ref="J133:J138" si="139">SUM(L133:AR133)</f>
        <v>151632</v>
      </c>
      <c r="L133" s="24">
        <f t="shared" ref="L133:AR133" si="140">L52</f>
        <v>0</v>
      </c>
      <c r="M133" s="24">
        <f t="shared" si="140"/>
        <v>0</v>
      </c>
      <c r="N133" s="24">
        <f t="shared" si="140"/>
        <v>0</v>
      </c>
      <c r="O133" s="24">
        <f t="shared" si="140"/>
        <v>0</v>
      </c>
      <c r="P133" s="24">
        <f t="shared" si="140"/>
        <v>0</v>
      </c>
      <c r="Q133" s="24">
        <f t="shared" si="140"/>
        <v>0</v>
      </c>
      <c r="R133" s="24">
        <f t="shared" si="140"/>
        <v>0</v>
      </c>
      <c r="S133" s="24">
        <f t="shared" si="140"/>
        <v>0</v>
      </c>
      <c r="T133" s="24">
        <f t="shared" si="140"/>
        <v>0</v>
      </c>
      <c r="U133" s="24">
        <f t="shared" si="140"/>
        <v>0</v>
      </c>
      <c r="V133" s="24">
        <f t="shared" si="140"/>
        <v>0</v>
      </c>
      <c r="W133" s="24">
        <f t="shared" si="140"/>
        <v>1000</v>
      </c>
      <c r="X133" s="24">
        <f t="shared" si="140"/>
        <v>0</v>
      </c>
      <c r="Y133" s="24">
        <f t="shared" si="140"/>
        <v>0</v>
      </c>
      <c r="Z133" s="24">
        <f t="shared" si="140"/>
        <v>0</v>
      </c>
      <c r="AA133" s="24">
        <f t="shared" si="140"/>
        <v>0</v>
      </c>
      <c r="AB133" s="24">
        <f t="shared" si="140"/>
        <v>0</v>
      </c>
      <c r="AC133" s="24">
        <f t="shared" si="140"/>
        <v>0</v>
      </c>
      <c r="AD133" s="1">
        <f t="shared" si="140"/>
        <v>27500</v>
      </c>
      <c r="AE133" s="1">
        <f t="shared" si="140"/>
        <v>9500</v>
      </c>
      <c r="AF133" s="1">
        <f t="shared" si="140"/>
        <v>4460</v>
      </c>
      <c r="AG133" s="1">
        <f t="shared" si="140"/>
        <v>7018</v>
      </c>
      <c r="AH133" s="1">
        <f t="shared" si="140"/>
        <v>9715</v>
      </c>
      <c r="AI133" s="1">
        <f t="shared" si="140"/>
        <v>6074</v>
      </c>
      <c r="AJ133" s="1">
        <f t="shared" si="140"/>
        <v>13575</v>
      </c>
      <c r="AK133" s="1">
        <f t="shared" si="140"/>
        <v>36890</v>
      </c>
      <c r="AL133" s="1">
        <f t="shared" si="140"/>
        <v>9650</v>
      </c>
      <c r="AM133" s="1">
        <f t="shared" si="140"/>
        <v>26250</v>
      </c>
      <c r="AN133" s="1">
        <f t="shared" si="140"/>
        <v>0</v>
      </c>
      <c r="AO133" s="1">
        <f t="shared" si="140"/>
        <v>0</v>
      </c>
      <c r="AP133" s="1">
        <f t="shared" si="140"/>
        <v>0</v>
      </c>
      <c r="AQ133" s="1">
        <f t="shared" si="140"/>
        <v>0</v>
      </c>
      <c r="AR133" s="1">
        <f t="shared" si="140"/>
        <v>0</v>
      </c>
      <c r="AT133" s="24">
        <f t="shared" ref="AT133:BD133" si="141">AT52</f>
        <v>0</v>
      </c>
      <c r="AU133" s="24">
        <f t="shared" si="141"/>
        <v>0</v>
      </c>
      <c r="AV133" s="24">
        <f t="shared" si="141"/>
        <v>0</v>
      </c>
      <c r="AW133" s="24">
        <f t="shared" si="141"/>
        <v>-1000</v>
      </c>
      <c r="AX133" s="24">
        <f t="shared" si="141"/>
        <v>0</v>
      </c>
      <c r="AY133" s="1">
        <f t="shared" si="141"/>
        <v>0</v>
      </c>
      <c r="AZ133" s="1">
        <f t="shared" si="141"/>
        <v>-41460</v>
      </c>
      <c r="BA133" s="1">
        <f t="shared" si="141"/>
        <v>-22807</v>
      </c>
      <c r="BB133" s="1">
        <f t="shared" si="141"/>
        <v>-52115</v>
      </c>
      <c r="BC133" s="1">
        <f t="shared" si="141"/>
        <v>-26250</v>
      </c>
      <c r="BD133" s="1">
        <f t="shared" si="141"/>
        <v>0</v>
      </c>
      <c r="BF133" s="1">
        <f t="shared" si="121"/>
        <v>-143632</v>
      </c>
    </row>
    <row r="134" spans="2:59" x14ac:dyDescent="0.25">
      <c r="B134" s="21" t="s">
        <v>143</v>
      </c>
      <c r="C134" s="21"/>
      <c r="D134" s="2" t="str">
        <f t="shared" ref="D134:D138" si="142">B134</f>
        <v>Legal</v>
      </c>
      <c r="E134" s="2" t="s">
        <v>144</v>
      </c>
      <c r="F134" s="1">
        <f>F66</f>
        <v>75000</v>
      </c>
      <c r="G134" s="59">
        <f t="shared" si="137"/>
        <v>36335.5</v>
      </c>
      <c r="H134" s="59">
        <f t="shared" si="138"/>
        <v>47000</v>
      </c>
      <c r="J134" s="1">
        <f>SUM(L134:AR134)</f>
        <v>83335.5</v>
      </c>
      <c r="L134" s="24">
        <f t="shared" ref="L134:AR134" si="143">L66</f>
        <v>0</v>
      </c>
      <c r="M134" s="24">
        <f t="shared" si="143"/>
        <v>0</v>
      </c>
      <c r="N134" s="24">
        <f t="shared" si="143"/>
        <v>0</v>
      </c>
      <c r="O134" s="24">
        <f t="shared" si="143"/>
        <v>0</v>
      </c>
      <c r="P134" s="24">
        <f t="shared" si="143"/>
        <v>0</v>
      </c>
      <c r="Q134" s="24">
        <f t="shared" si="143"/>
        <v>0</v>
      </c>
      <c r="R134" s="24">
        <f t="shared" si="143"/>
        <v>0</v>
      </c>
      <c r="S134" s="24">
        <f t="shared" si="143"/>
        <v>0</v>
      </c>
      <c r="T134" s="24">
        <f t="shared" si="143"/>
        <v>0</v>
      </c>
      <c r="U134" s="24">
        <f t="shared" si="143"/>
        <v>0</v>
      </c>
      <c r="V134" s="24">
        <f t="shared" si="143"/>
        <v>0</v>
      </c>
      <c r="W134" s="24">
        <f t="shared" si="143"/>
        <v>29500</v>
      </c>
      <c r="X134" s="24">
        <f t="shared" si="143"/>
        <v>0</v>
      </c>
      <c r="Y134" s="24">
        <f t="shared" si="143"/>
        <v>0</v>
      </c>
      <c r="Z134" s="24">
        <f t="shared" si="143"/>
        <v>6835.5</v>
      </c>
      <c r="AA134" s="24">
        <f t="shared" si="143"/>
        <v>0</v>
      </c>
      <c r="AB134" s="24">
        <f t="shared" si="143"/>
        <v>0</v>
      </c>
      <c r="AC134" s="24">
        <f t="shared" si="143"/>
        <v>0</v>
      </c>
      <c r="AD134" s="1">
        <f t="shared" si="143"/>
        <v>16000</v>
      </c>
      <c r="AE134" s="1">
        <f t="shared" si="143"/>
        <v>1000</v>
      </c>
      <c r="AF134" s="1">
        <f t="shared" si="143"/>
        <v>5000</v>
      </c>
      <c r="AG134" s="1">
        <f t="shared" si="143"/>
        <v>5000</v>
      </c>
      <c r="AH134" s="1">
        <f t="shared" si="143"/>
        <v>5000</v>
      </c>
      <c r="AI134" s="1">
        <f t="shared" si="143"/>
        <v>5000</v>
      </c>
      <c r="AJ134" s="1">
        <f t="shared" si="143"/>
        <v>5000</v>
      </c>
      <c r="AK134" s="1">
        <f t="shared" si="143"/>
        <v>5000</v>
      </c>
      <c r="AL134" s="1">
        <f t="shared" si="143"/>
        <v>0</v>
      </c>
      <c r="AM134" s="1">
        <f t="shared" si="143"/>
        <v>0</v>
      </c>
      <c r="AN134" s="1">
        <f t="shared" si="143"/>
        <v>0</v>
      </c>
      <c r="AO134" s="1">
        <f t="shared" si="143"/>
        <v>0</v>
      </c>
      <c r="AP134" s="1">
        <f t="shared" si="143"/>
        <v>0</v>
      </c>
      <c r="AQ134" s="1">
        <f t="shared" si="143"/>
        <v>0</v>
      </c>
      <c r="AR134" s="1">
        <f t="shared" si="143"/>
        <v>0</v>
      </c>
      <c r="AT134" s="24">
        <f t="shared" ref="AT134:BD134" si="144">AT66</f>
        <v>0</v>
      </c>
      <c r="AU134" s="24">
        <f t="shared" si="144"/>
        <v>0</v>
      </c>
      <c r="AV134" s="24">
        <f t="shared" si="144"/>
        <v>0</v>
      </c>
      <c r="AW134" s="24">
        <f t="shared" si="144"/>
        <v>-29500</v>
      </c>
      <c r="AX134" s="24">
        <f t="shared" si="144"/>
        <v>-6835.5</v>
      </c>
      <c r="AY134" s="1">
        <f t="shared" si="144"/>
        <v>0</v>
      </c>
      <c r="AZ134" s="1">
        <f t="shared" si="144"/>
        <v>-22000</v>
      </c>
      <c r="BA134" s="1">
        <f t="shared" si="144"/>
        <v>-15000</v>
      </c>
      <c r="BB134" s="1">
        <f t="shared" si="144"/>
        <v>-10000</v>
      </c>
      <c r="BC134" s="1">
        <f t="shared" si="144"/>
        <v>0</v>
      </c>
      <c r="BD134" s="1">
        <f t="shared" si="144"/>
        <v>0</v>
      </c>
      <c r="BF134" s="1">
        <f t="shared" si="121"/>
        <v>-83335.5</v>
      </c>
    </row>
    <row r="135" spans="2:59" x14ac:dyDescent="0.25">
      <c r="B135" s="21" t="s">
        <v>146</v>
      </c>
      <c r="C135" s="21"/>
      <c r="D135" s="2" t="str">
        <f t="shared" si="142"/>
        <v>HR</v>
      </c>
      <c r="E135" s="2" t="s">
        <v>149</v>
      </c>
      <c r="F135" s="1">
        <f>F95</f>
        <v>626452</v>
      </c>
      <c r="G135" s="59">
        <f t="shared" si="137"/>
        <v>252731.69</v>
      </c>
      <c r="H135" s="59">
        <f t="shared" si="138"/>
        <v>401202.01666666678</v>
      </c>
      <c r="J135" s="1">
        <f>SUM(L135:AR135)</f>
        <v>653933.70666666678</v>
      </c>
      <c r="L135" s="24">
        <f t="shared" ref="L135:AR135" si="145">L95</f>
        <v>0</v>
      </c>
      <c r="M135" s="24">
        <f t="shared" si="145"/>
        <v>0</v>
      </c>
      <c r="N135" s="24">
        <f t="shared" si="145"/>
        <v>0</v>
      </c>
      <c r="O135" s="24">
        <f t="shared" si="145"/>
        <v>0</v>
      </c>
      <c r="P135" s="24">
        <f t="shared" si="145"/>
        <v>0</v>
      </c>
      <c r="Q135" s="24">
        <f t="shared" si="145"/>
        <v>0</v>
      </c>
      <c r="R135" s="24">
        <f t="shared" si="145"/>
        <v>0</v>
      </c>
      <c r="S135" s="24">
        <f t="shared" si="145"/>
        <v>0</v>
      </c>
      <c r="T135" s="24">
        <f t="shared" si="145"/>
        <v>0</v>
      </c>
      <c r="U135" s="24">
        <f t="shared" si="145"/>
        <v>0</v>
      </c>
      <c r="V135" s="24">
        <f t="shared" si="145"/>
        <v>0</v>
      </c>
      <c r="W135" s="24">
        <f t="shared" si="145"/>
        <v>12000</v>
      </c>
      <c r="X135" s="24">
        <f t="shared" si="145"/>
        <v>0</v>
      </c>
      <c r="Y135" s="24">
        <f t="shared" si="145"/>
        <v>0</v>
      </c>
      <c r="Z135" s="24">
        <f t="shared" si="145"/>
        <v>225147.79</v>
      </c>
      <c r="AA135" s="24">
        <f t="shared" si="145"/>
        <v>4245.666666666667</v>
      </c>
      <c r="AB135" s="24">
        <f t="shared" si="145"/>
        <v>5035.4666666666672</v>
      </c>
      <c r="AC135" s="24">
        <f t="shared" si="145"/>
        <v>6302.7666666666673</v>
      </c>
      <c r="AD135" s="1">
        <f t="shared" si="145"/>
        <v>194149.01666666666</v>
      </c>
      <c r="AE135" s="1">
        <f t="shared" si="145"/>
        <v>10245.666666666668</v>
      </c>
      <c r="AF135" s="1">
        <f t="shared" si="145"/>
        <v>9445.6666666666679</v>
      </c>
      <c r="AG135" s="1">
        <f t="shared" si="145"/>
        <v>24862.333333333336</v>
      </c>
      <c r="AH135" s="1">
        <f t="shared" si="145"/>
        <v>34862.333333333336</v>
      </c>
      <c r="AI135" s="1">
        <f t="shared" si="145"/>
        <v>39112.333333333336</v>
      </c>
      <c r="AJ135" s="1">
        <f t="shared" si="145"/>
        <v>35912.333333333336</v>
      </c>
      <c r="AK135" s="1">
        <f t="shared" si="145"/>
        <v>52612.333333333336</v>
      </c>
      <c r="AL135" s="1">
        <f t="shared" si="145"/>
        <v>0</v>
      </c>
      <c r="AM135" s="1">
        <f t="shared" si="145"/>
        <v>0</v>
      </c>
      <c r="AN135" s="1">
        <f t="shared" si="145"/>
        <v>0</v>
      </c>
      <c r="AO135" s="1">
        <f t="shared" si="145"/>
        <v>0</v>
      </c>
      <c r="AP135" s="1">
        <f t="shared" si="145"/>
        <v>0</v>
      </c>
      <c r="AQ135" s="1">
        <f t="shared" si="145"/>
        <v>0</v>
      </c>
      <c r="AR135" s="1">
        <f t="shared" si="145"/>
        <v>0</v>
      </c>
      <c r="AT135" s="24">
        <f t="shared" ref="AT135:BD135" si="146">AT95</f>
        <v>0</v>
      </c>
      <c r="AU135" s="24">
        <f t="shared" si="146"/>
        <v>0</v>
      </c>
      <c r="AV135" s="24">
        <f t="shared" si="146"/>
        <v>0</v>
      </c>
      <c r="AW135" s="24">
        <f t="shared" si="146"/>
        <v>0</v>
      </c>
      <c r="AX135" s="24">
        <f t="shared" si="146"/>
        <v>-288.78999999999996</v>
      </c>
      <c r="AY135" s="1">
        <f t="shared" si="146"/>
        <v>-15583.9</v>
      </c>
      <c r="AZ135" s="1">
        <f t="shared" si="146"/>
        <v>-22937</v>
      </c>
      <c r="BA135" s="1">
        <f t="shared" si="146"/>
        <v>-88837</v>
      </c>
      <c r="BB135" s="1">
        <f t="shared" si="146"/>
        <v>-88524.666666666672</v>
      </c>
      <c r="BC135" s="1">
        <f t="shared" si="146"/>
        <v>0</v>
      </c>
      <c r="BD135" s="1">
        <f t="shared" si="146"/>
        <v>0</v>
      </c>
      <c r="BF135" s="1">
        <f t="shared" si="121"/>
        <v>-216171.35666666669</v>
      </c>
    </row>
    <row r="136" spans="2:59" x14ac:dyDescent="0.25">
      <c r="B136" s="21" t="s">
        <v>160</v>
      </c>
      <c r="C136" s="21"/>
      <c r="D136" s="2" t="s">
        <v>160</v>
      </c>
      <c r="E136" s="2" t="s">
        <v>161</v>
      </c>
      <c r="F136" s="1">
        <f>F110</f>
        <v>38310</v>
      </c>
      <c r="G136" s="59">
        <f t="shared" si="137"/>
        <v>0</v>
      </c>
      <c r="H136" s="59">
        <f t="shared" si="138"/>
        <v>38310</v>
      </c>
      <c r="J136" s="1">
        <f>SUM(L136:AR136)</f>
        <v>38310</v>
      </c>
      <c r="L136" s="24">
        <f>L110</f>
        <v>0</v>
      </c>
      <c r="M136" s="24">
        <f t="shared" ref="M136:AR136" si="147">M110</f>
        <v>0</v>
      </c>
      <c r="N136" s="24">
        <f t="shared" si="147"/>
        <v>0</v>
      </c>
      <c r="O136" s="24">
        <f t="shared" si="147"/>
        <v>0</v>
      </c>
      <c r="P136" s="24">
        <f t="shared" si="147"/>
        <v>0</v>
      </c>
      <c r="Q136" s="24">
        <f t="shared" si="147"/>
        <v>0</v>
      </c>
      <c r="R136" s="24">
        <f t="shared" si="147"/>
        <v>0</v>
      </c>
      <c r="S136" s="24">
        <f t="shared" si="147"/>
        <v>0</v>
      </c>
      <c r="T136" s="24">
        <f t="shared" si="147"/>
        <v>0</v>
      </c>
      <c r="U136" s="24">
        <f t="shared" si="147"/>
        <v>0</v>
      </c>
      <c r="V136" s="24">
        <f t="shared" si="147"/>
        <v>0</v>
      </c>
      <c r="W136" s="24">
        <f t="shared" si="147"/>
        <v>0</v>
      </c>
      <c r="X136" s="24">
        <f t="shared" si="147"/>
        <v>0</v>
      </c>
      <c r="Y136" s="24">
        <f t="shared" si="147"/>
        <v>0</v>
      </c>
      <c r="Z136" s="24">
        <f t="shared" si="147"/>
        <v>0</v>
      </c>
      <c r="AA136" s="24">
        <f t="shared" si="147"/>
        <v>0</v>
      </c>
      <c r="AB136" s="24">
        <f t="shared" si="147"/>
        <v>0</v>
      </c>
      <c r="AC136" s="24">
        <f t="shared" si="147"/>
        <v>0</v>
      </c>
      <c r="AD136" s="1">
        <f t="shared" si="147"/>
        <v>0</v>
      </c>
      <c r="AE136" s="1">
        <f t="shared" si="147"/>
        <v>0</v>
      </c>
      <c r="AF136" s="1">
        <f t="shared" si="147"/>
        <v>2050</v>
      </c>
      <c r="AG136" s="1">
        <f t="shared" si="147"/>
        <v>3650</v>
      </c>
      <c r="AH136" s="1">
        <f t="shared" si="147"/>
        <v>7250</v>
      </c>
      <c r="AI136" s="1">
        <f t="shared" si="147"/>
        <v>8220</v>
      </c>
      <c r="AJ136" s="1">
        <f t="shared" si="147"/>
        <v>8570</v>
      </c>
      <c r="AK136" s="1">
        <f t="shared" si="147"/>
        <v>8570</v>
      </c>
      <c r="AL136" s="1">
        <f t="shared" si="147"/>
        <v>0</v>
      </c>
      <c r="AM136" s="1">
        <f t="shared" si="147"/>
        <v>0</v>
      </c>
      <c r="AN136" s="1">
        <f t="shared" si="147"/>
        <v>0</v>
      </c>
      <c r="AO136" s="1">
        <f t="shared" si="147"/>
        <v>0</v>
      </c>
      <c r="AP136" s="1">
        <f t="shared" si="147"/>
        <v>0</v>
      </c>
      <c r="AQ136" s="1">
        <f t="shared" si="147"/>
        <v>0</v>
      </c>
      <c r="AR136" s="1">
        <f t="shared" si="147"/>
        <v>0</v>
      </c>
      <c r="AT136" s="24"/>
      <c r="AU136" s="24"/>
      <c r="AV136" s="24"/>
      <c r="AW136" s="24"/>
      <c r="AX136" s="24"/>
      <c r="AY136" s="1"/>
      <c r="AZ136" s="1"/>
      <c r="BA136" s="1"/>
      <c r="BB136" s="1"/>
      <c r="BC136" s="1"/>
      <c r="BD136" s="1"/>
      <c r="BF136" s="1"/>
    </row>
    <row r="137" spans="2:59" x14ac:dyDescent="0.25">
      <c r="B137" s="21" t="s">
        <v>168</v>
      </c>
      <c r="C137" s="21"/>
      <c r="D137" s="2" t="str">
        <f t="shared" si="142"/>
        <v>OS&amp;E</v>
      </c>
      <c r="E137" s="2" t="s">
        <v>169</v>
      </c>
      <c r="F137" s="1">
        <f>F117</f>
        <v>165000</v>
      </c>
      <c r="G137" s="59">
        <f t="shared" si="137"/>
        <v>0</v>
      </c>
      <c r="H137" s="59">
        <f t="shared" si="138"/>
        <v>165000</v>
      </c>
      <c r="J137" s="1">
        <f t="shared" si="139"/>
        <v>165000</v>
      </c>
      <c r="L137" s="24">
        <f t="shared" ref="L137:AR137" si="148">L117</f>
        <v>0</v>
      </c>
      <c r="M137" s="24">
        <f t="shared" si="148"/>
        <v>0</v>
      </c>
      <c r="N137" s="24">
        <f t="shared" si="148"/>
        <v>0</v>
      </c>
      <c r="O137" s="24">
        <f t="shared" si="148"/>
        <v>0</v>
      </c>
      <c r="P137" s="24">
        <f t="shared" si="148"/>
        <v>0</v>
      </c>
      <c r="Q137" s="24">
        <f t="shared" si="148"/>
        <v>0</v>
      </c>
      <c r="R137" s="24">
        <f t="shared" si="148"/>
        <v>0</v>
      </c>
      <c r="S137" s="24">
        <f t="shared" si="148"/>
        <v>0</v>
      </c>
      <c r="T137" s="24">
        <f t="shared" si="148"/>
        <v>0</v>
      </c>
      <c r="U137" s="24">
        <f t="shared" si="148"/>
        <v>0</v>
      </c>
      <c r="V137" s="24">
        <f t="shared" si="148"/>
        <v>0</v>
      </c>
      <c r="W137" s="24">
        <f t="shared" si="148"/>
        <v>0</v>
      </c>
      <c r="X137" s="24">
        <f t="shared" si="148"/>
        <v>0</v>
      </c>
      <c r="Y137" s="24">
        <f t="shared" si="148"/>
        <v>0</v>
      </c>
      <c r="Z137" s="24">
        <f t="shared" si="148"/>
        <v>0</v>
      </c>
      <c r="AA137" s="24">
        <f t="shared" si="148"/>
        <v>0</v>
      </c>
      <c r="AB137" s="24">
        <f t="shared" si="148"/>
        <v>0</v>
      </c>
      <c r="AC137" s="24">
        <f t="shared" si="148"/>
        <v>0</v>
      </c>
      <c r="AD137" s="1">
        <f t="shared" si="148"/>
        <v>5000</v>
      </c>
      <c r="AE137" s="1">
        <f t="shared" si="148"/>
        <v>10000</v>
      </c>
      <c r="AF137" s="1">
        <f t="shared" si="148"/>
        <v>20000</v>
      </c>
      <c r="AG137" s="1">
        <f t="shared" si="148"/>
        <v>20000</v>
      </c>
      <c r="AH137" s="1">
        <f t="shared" si="148"/>
        <v>35000</v>
      </c>
      <c r="AI137" s="1">
        <f t="shared" si="148"/>
        <v>35000</v>
      </c>
      <c r="AJ137" s="1">
        <f t="shared" si="148"/>
        <v>40000</v>
      </c>
      <c r="AK137" s="1">
        <f t="shared" si="148"/>
        <v>0</v>
      </c>
      <c r="AL137" s="1">
        <f t="shared" si="148"/>
        <v>0</v>
      </c>
      <c r="AM137" s="1">
        <f t="shared" si="148"/>
        <v>0</v>
      </c>
      <c r="AN137" s="1">
        <f t="shared" si="148"/>
        <v>0</v>
      </c>
      <c r="AO137" s="1">
        <f t="shared" si="148"/>
        <v>0</v>
      </c>
      <c r="AP137" s="1">
        <f t="shared" si="148"/>
        <v>0</v>
      </c>
      <c r="AQ137" s="1">
        <f t="shared" si="148"/>
        <v>0</v>
      </c>
      <c r="AR137" s="1">
        <f t="shared" si="148"/>
        <v>0</v>
      </c>
      <c r="AT137" s="24">
        <f t="shared" ref="AT137:BD137" si="149">AT117</f>
        <v>0</v>
      </c>
      <c r="AU137" s="24">
        <f t="shared" si="149"/>
        <v>0</v>
      </c>
      <c r="AV137" s="24">
        <f t="shared" si="149"/>
        <v>0</v>
      </c>
      <c r="AW137" s="24">
        <f t="shared" si="149"/>
        <v>0</v>
      </c>
      <c r="AX137" s="24">
        <f t="shared" si="149"/>
        <v>0</v>
      </c>
      <c r="AY137" s="1">
        <f t="shared" si="149"/>
        <v>0</v>
      </c>
      <c r="AZ137" s="1">
        <f t="shared" si="149"/>
        <v>-35000</v>
      </c>
      <c r="BA137" s="1">
        <f t="shared" si="149"/>
        <v>-90000</v>
      </c>
      <c r="BB137" s="1">
        <f t="shared" si="149"/>
        <v>-40000</v>
      </c>
      <c r="BC137" s="1">
        <f t="shared" si="149"/>
        <v>0</v>
      </c>
      <c r="BD137" s="1">
        <f t="shared" si="149"/>
        <v>0</v>
      </c>
      <c r="BF137" s="1">
        <f t="shared" si="121"/>
        <v>-165000</v>
      </c>
    </row>
    <row r="138" spans="2:59" x14ac:dyDescent="0.25">
      <c r="B138" s="21" t="s">
        <v>171</v>
      </c>
      <c r="C138" s="21"/>
      <c r="D138" s="2" t="str">
        <f t="shared" si="142"/>
        <v>Other Costs</v>
      </c>
      <c r="E138" s="2" t="s">
        <v>278</v>
      </c>
      <c r="F138" s="1">
        <f>F128</f>
        <v>184300</v>
      </c>
      <c r="G138" s="59">
        <f t="shared" si="137"/>
        <v>17599.03</v>
      </c>
      <c r="H138" s="59">
        <f t="shared" si="138"/>
        <v>161336</v>
      </c>
      <c r="J138" s="1">
        <f t="shared" si="139"/>
        <v>178935.03</v>
      </c>
      <c r="L138" s="24">
        <f t="shared" ref="L138:AR138" si="150">L128</f>
        <v>0</v>
      </c>
      <c r="M138" s="24">
        <f t="shared" si="150"/>
        <v>0</v>
      </c>
      <c r="N138" s="24">
        <f t="shared" si="150"/>
        <v>0</v>
      </c>
      <c r="O138" s="24">
        <f t="shared" si="150"/>
        <v>0</v>
      </c>
      <c r="P138" s="24">
        <f t="shared" si="150"/>
        <v>0</v>
      </c>
      <c r="Q138" s="24">
        <f t="shared" si="150"/>
        <v>0</v>
      </c>
      <c r="R138" s="24">
        <f t="shared" si="150"/>
        <v>0</v>
      </c>
      <c r="S138" s="24">
        <f t="shared" si="150"/>
        <v>0</v>
      </c>
      <c r="T138" s="24">
        <f t="shared" si="150"/>
        <v>0</v>
      </c>
      <c r="U138" s="24">
        <f t="shared" si="150"/>
        <v>0</v>
      </c>
      <c r="V138" s="24">
        <f t="shared" si="150"/>
        <v>0</v>
      </c>
      <c r="W138" s="24">
        <f t="shared" si="150"/>
        <v>2364</v>
      </c>
      <c r="X138" s="24">
        <f t="shared" si="150"/>
        <v>0</v>
      </c>
      <c r="Y138" s="24">
        <f t="shared" si="150"/>
        <v>0</v>
      </c>
      <c r="Z138" s="24">
        <f t="shared" si="150"/>
        <v>0</v>
      </c>
      <c r="AA138" s="24">
        <f t="shared" si="150"/>
        <v>0</v>
      </c>
      <c r="AB138" s="24">
        <f t="shared" si="150"/>
        <v>8835.0300000000007</v>
      </c>
      <c r="AC138" s="24">
        <f t="shared" si="150"/>
        <v>6400</v>
      </c>
      <c r="AD138" s="1">
        <f t="shared" si="150"/>
        <v>9400</v>
      </c>
      <c r="AE138" s="1">
        <f t="shared" si="150"/>
        <v>8536</v>
      </c>
      <c r="AF138" s="1">
        <f t="shared" si="150"/>
        <v>8900</v>
      </c>
      <c r="AG138" s="1">
        <f t="shared" si="150"/>
        <v>9400</v>
      </c>
      <c r="AH138" s="1">
        <f t="shared" si="150"/>
        <v>10400</v>
      </c>
      <c r="AI138" s="1">
        <f t="shared" si="150"/>
        <v>12400</v>
      </c>
      <c r="AJ138" s="1">
        <f t="shared" si="150"/>
        <v>44900</v>
      </c>
      <c r="AK138" s="1">
        <f t="shared" si="150"/>
        <v>57400</v>
      </c>
      <c r="AL138" s="1">
        <f t="shared" si="150"/>
        <v>0</v>
      </c>
      <c r="AM138" s="1">
        <f t="shared" si="150"/>
        <v>0</v>
      </c>
      <c r="AN138" s="1">
        <f t="shared" si="150"/>
        <v>0</v>
      </c>
      <c r="AO138" s="1">
        <f t="shared" si="150"/>
        <v>0</v>
      </c>
      <c r="AP138" s="1">
        <f t="shared" si="150"/>
        <v>0</v>
      </c>
      <c r="AQ138" s="1">
        <f t="shared" si="150"/>
        <v>0</v>
      </c>
      <c r="AR138" s="1">
        <f t="shared" si="150"/>
        <v>0</v>
      </c>
      <c r="AT138" s="24">
        <f t="shared" ref="AT138:BD138" si="151">AT128</f>
        <v>0</v>
      </c>
      <c r="AU138" s="24">
        <f t="shared" si="151"/>
        <v>0</v>
      </c>
      <c r="AV138" s="24">
        <f t="shared" si="151"/>
        <v>0</v>
      </c>
      <c r="AW138" s="24">
        <f t="shared" si="151"/>
        <v>-2364</v>
      </c>
      <c r="AX138" s="24">
        <f t="shared" si="151"/>
        <v>0</v>
      </c>
      <c r="AY138" s="1">
        <f t="shared" si="151"/>
        <v>-15235.03</v>
      </c>
      <c r="AZ138" s="1">
        <f t="shared" si="151"/>
        <v>-26836</v>
      </c>
      <c r="BA138" s="1">
        <f t="shared" si="151"/>
        <v>-32200</v>
      </c>
      <c r="BB138" s="1">
        <f t="shared" si="151"/>
        <v>-72300</v>
      </c>
      <c r="BC138" s="1">
        <f t="shared" si="151"/>
        <v>0</v>
      </c>
      <c r="BD138" s="1">
        <f t="shared" si="151"/>
        <v>0</v>
      </c>
      <c r="BF138" s="1">
        <f t="shared" si="121"/>
        <v>-148935.03</v>
      </c>
    </row>
    <row r="139" spans="2:59" s="20" customFormat="1" x14ac:dyDescent="0.25">
      <c r="B139" s="50" t="s">
        <v>187</v>
      </c>
      <c r="C139" s="50"/>
      <c r="D139" s="101"/>
      <c r="E139" s="101"/>
      <c r="F139" s="51">
        <f>SUM(F133:F138)</f>
        <v>1269145</v>
      </c>
      <c r="G139" s="51">
        <f>SUM(G133:G138)</f>
        <v>307666.21999999997</v>
      </c>
      <c r="H139" s="51">
        <f>SUM(H133:H138)</f>
        <v>963480.01666666684</v>
      </c>
      <c r="J139" s="51">
        <f>SUM(L139:AR139)</f>
        <v>1271146.2366666666</v>
      </c>
      <c r="L139" s="160">
        <f t="shared" ref="L139:AR139" si="152">SUM(L133:L138)</f>
        <v>0</v>
      </c>
      <c r="M139" s="51">
        <f t="shared" si="152"/>
        <v>0</v>
      </c>
      <c r="N139" s="51">
        <f t="shared" si="152"/>
        <v>0</v>
      </c>
      <c r="O139" s="51">
        <f t="shared" si="152"/>
        <v>0</v>
      </c>
      <c r="P139" s="51">
        <f t="shared" si="152"/>
        <v>0</v>
      </c>
      <c r="Q139" s="51">
        <f t="shared" si="152"/>
        <v>0</v>
      </c>
      <c r="R139" s="51">
        <f t="shared" si="152"/>
        <v>0</v>
      </c>
      <c r="S139" s="51">
        <f t="shared" si="152"/>
        <v>0</v>
      </c>
      <c r="T139" s="51">
        <f t="shared" si="152"/>
        <v>0</v>
      </c>
      <c r="U139" s="51">
        <f t="shared" si="152"/>
        <v>0</v>
      </c>
      <c r="V139" s="51">
        <f t="shared" si="152"/>
        <v>0</v>
      </c>
      <c r="W139" s="51">
        <f t="shared" si="152"/>
        <v>44864</v>
      </c>
      <c r="X139" s="51">
        <f t="shared" si="152"/>
        <v>0</v>
      </c>
      <c r="Y139" s="51">
        <f t="shared" si="152"/>
        <v>0</v>
      </c>
      <c r="Z139" s="51">
        <f t="shared" si="152"/>
        <v>231983.29</v>
      </c>
      <c r="AA139" s="51">
        <f t="shared" si="152"/>
        <v>4245.666666666667</v>
      </c>
      <c r="AB139" s="51">
        <f t="shared" si="152"/>
        <v>13870.496666666668</v>
      </c>
      <c r="AC139" s="51">
        <f t="shared" si="152"/>
        <v>12702.766666666666</v>
      </c>
      <c r="AD139" s="51">
        <f t="shared" si="152"/>
        <v>252049.01666666666</v>
      </c>
      <c r="AE139" s="51">
        <f t="shared" si="152"/>
        <v>39281.666666666672</v>
      </c>
      <c r="AF139" s="51">
        <f t="shared" si="152"/>
        <v>49855.666666666672</v>
      </c>
      <c r="AG139" s="51">
        <f t="shared" si="152"/>
        <v>69930.333333333343</v>
      </c>
      <c r="AH139" s="51">
        <f t="shared" si="152"/>
        <v>102227.33333333334</v>
      </c>
      <c r="AI139" s="51">
        <f t="shared" si="152"/>
        <v>105806.33333333334</v>
      </c>
      <c r="AJ139" s="51">
        <f t="shared" si="152"/>
        <v>147957.33333333334</v>
      </c>
      <c r="AK139" s="51">
        <f t="shared" si="152"/>
        <v>160472.33333333334</v>
      </c>
      <c r="AL139" s="51">
        <f t="shared" si="152"/>
        <v>9650</v>
      </c>
      <c r="AM139" s="51">
        <f t="shared" si="152"/>
        <v>26250</v>
      </c>
      <c r="AN139" s="51">
        <f t="shared" si="152"/>
        <v>0</v>
      </c>
      <c r="AO139" s="51">
        <f t="shared" si="152"/>
        <v>0</v>
      </c>
      <c r="AP139" s="51">
        <f t="shared" si="152"/>
        <v>0</v>
      </c>
      <c r="AQ139" s="51">
        <f t="shared" si="152"/>
        <v>0</v>
      </c>
      <c r="AR139" s="51">
        <f t="shared" si="152"/>
        <v>0</v>
      </c>
      <c r="AT139" s="51">
        <f>SUM(AT133:AT138)</f>
        <v>0</v>
      </c>
      <c r="AU139" s="51">
        <f t="shared" ref="AU139:BD139" si="153">SUM(AU133:AU138)</f>
        <v>0</v>
      </c>
      <c r="AV139" s="51">
        <f t="shared" si="153"/>
        <v>0</v>
      </c>
      <c r="AW139" s="51">
        <f t="shared" si="153"/>
        <v>-32864</v>
      </c>
      <c r="AX139" s="51">
        <f t="shared" si="153"/>
        <v>-7124.29</v>
      </c>
      <c r="AY139" s="51">
        <f t="shared" si="153"/>
        <v>-30818.93</v>
      </c>
      <c r="AZ139" s="51">
        <f t="shared" si="153"/>
        <v>-148233</v>
      </c>
      <c r="BA139" s="51">
        <f t="shared" si="153"/>
        <v>-248844</v>
      </c>
      <c r="BB139" s="51">
        <f t="shared" si="153"/>
        <v>-262939.66666666669</v>
      </c>
      <c r="BC139" s="51">
        <f t="shared" si="153"/>
        <v>-26250</v>
      </c>
      <c r="BD139" s="51">
        <f t="shared" si="153"/>
        <v>0</v>
      </c>
      <c r="BF139" s="51">
        <f>SUM(AT139:BD139)</f>
        <v>-757073.88666666672</v>
      </c>
      <c r="BG139" s="15"/>
    </row>
    <row r="140" spans="2:59" x14ac:dyDescent="0.25">
      <c r="J140" s="1">
        <f>J139-F139</f>
        <v>2001.2366666665766</v>
      </c>
    </row>
    <row r="141" spans="2:59" x14ac:dyDescent="0.25">
      <c r="B141" s="4" t="s">
        <v>178</v>
      </c>
      <c r="C141" s="4"/>
      <c r="D141" s="53"/>
      <c r="E141" s="53"/>
      <c r="F141" s="53"/>
      <c r="G141" s="53"/>
      <c r="H141" s="53"/>
      <c r="J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0"/>
      <c r="AI141" s="140"/>
      <c r="AJ141" s="140"/>
      <c r="AK141" s="140"/>
      <c r="AL141" s="140"/>
      <c r="AM141" s="140"/>
      <c r="AN141" s="140"/>
      <c r="AO141" s="140"/>
      <c r="AP141" s="140"/>
      <c r="AQ141" s="140"/>
      <c r="AR141" s="140"/>
      <c r="AT141" s="140"/>
      <c r="AU141" s="140"/>
      <c r="AV141" s="140"/>
      <c r="AW141" s="140"/>
      <c r="AX141" s="140"/>
      <c r="AY141" s="140"/>
      <c r="AZ141" s="140"/>
      <c r="BA141" s="140"/>
      <c r="BB141" s="140"/>
      <c r="BC141" s="140"/>
      <c r="BD141" s="140"/>
      <c r="BF141" s="140"/>
    </row>
    <row r="143" spans="2:59" s="20" customFormat="1" x14ac:dyDescent="0.25">
      <c r="B143" s="57" t="s">
        <v>120</v>
      </c>
      <c r="C143" s="57"/>
      <c r="D143" s="58" t="s">
        <v>121</v>
      </c>
      <c r="E143" s="58"/>
      <c r="F143" s="58" t="s">
        <v>120</v>
      </c>
      <c r="G143" s="58" t="s">
        <v>123</v>
      </c>
      <c r="H143" s="58" t="s">
        <v>124</v>
      </c>
      <c r="J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F143" s="58"/>
    </row>
    <row r="144" spans="2:59" x14ac:dyDescent="0.25">
      <c r="B144" s="63" t="s">
        <v>179</v>
      </c>
      <c r="C144" s="21"/>
      <c r="D144" s="2" t="s">
        <v>178</v>
      </c>
      <c r="E144" s="2" t="s">
        <v>180</v>
      </c>
      <c r="F144" s="9">
        <v>360000</v>
      </c>
      <c r="G144" s="59">
        <f>SUMIFS($L144:$AR144,$L$7:$AR$7,"&lt;="&amp;$J$4)</f>
        <v>266156.25</v>
      </c>
      <c r="H144" s="59">
        <f t="shared" ref="H144:H145" si="154">J144-G144</f>
        <v>93843.75</v>
      </c>
      <c r="J144" s="1">
        <f t="shared" ref="J144:J146" si="155">SUM(L144:AR144)</f>
        <v>360000</v>
      </c>
      <c r="L144" s="115">
        <f>SUMIFS('Invoices - Preopening'!$I$20:$I$299,'Invoices - Preopening'!$H$20:$H$299,"&gt;="&amp;L$6,'Invoices - Preopening'!$H$20:$H$299,"&lt;="&amp;L$7,'Invoices - Preopening'!$C$20:$C$299,'Model - Preopening &amp; Fees'!$B144)</f>
        <v>97000</v>
      </c>
      <c r="M144" s="115">
        <f>SUMIFS('Invoices - Preopening'!$I$20:$I$299,'Invoices - Preopening'!$H$20:$H$299,"&gt;="&amp;M$6,'Invoices - Preopening'!$H$20:$H$299,"&lt;="&amp;M$7,'Invoices - Preopening'!$C$20:$C$299,'Model - Preopening &amp; Fees'!$B144)</f>
        <v>0</v>
      </c>
      <c r="N144" s="115">
        <f>SUMIFS('Invoices - Preopening'!$I$20:$I$299,'Invoices - Preopening'!$H$20:$H$299,"&gt;="&amp;N$6,'Invoices - Preopening'!$H$20:$H$299,"&lt;="&amp;N$7,'Invoices - Preopening'!$C$20:$C$299,'Model - Preopening &amp; Fees'!$B144)</f>
        <v>0</v>
      </c>
      <c r="O144" s="115">
        <f>SUMIFS('Invoices - Preopening'!$I$20:$I$299,'Invoices - Preopening'!$H$20:$H$299,"&gt;="&amp;O$6,'Invoices - Preopening'!$H$20:$H$299,"&lt;="&amp;O$7,'Invoices - Preopening'!$C$20:$C$299,'Model - Preopening &amp; Fees'!$B144)</f>
        <v>97000</v>
      </c>
      <c r="P144" s="115">
        <f>SUMIFS('Invoices - Preopening'!$I$20:$I$299,'Invoices - Preopening'!$H$20:$H$299,"&gt;="&amp;P$6,'Invoices - Preopening'!$H$20:$H$299,"&lt;="&amp;P$7,'Invoices - Preopening'!$C$20:$C$299,'Model - Preopening &amp; Fees'!$B144)</f>
        <v>0</v>
      </c>
      <c r="Q144" s="115">
        <f>SUMIFS('Invoices - Preopening'!$I$20:$I$299,'Invoices - Preopening'!$H$20:$H$299,"&gt;="&amp;Q$6,'Invoices - Preopening'!$H$20:$H$299,"&lt;="&amp;Q$7,'Invoices - Preopening'!$C$20:$C$299,'Model - Preopening &amp; Fees'!$B144)</f>
        <v>0</v>
      </c>
      <c r="R144" s="115">
        <f>SUMIFS('Invoices - Preopening'!$I$20:$I$299,'Invoices - Preopening'!$H$20:$H$299,"&gt;="&amp;R$6,'Invoices - Preopening'!$H$20:$H$299,"&lt;="&amp;R$7,'Invoices - Preopening'!$C$20:$C$299,'Model - Preopening &amp; Fees'!$B144)</f>
        <v>0</v>
      </c>
      <c r="S144" s="115">
        <f>SUMIFS('Invoices - Preopening'!$I$20:$I$299,'Invoices - Preopening'!$H$20:$H$299,"&gt;="&amp;S$6,'Invoices - Preopening'!$H$20:$H$299,"&lt;="&amp;S$7,'Invoices - Preopening'!$C$20:$C$299,'Model - Preopening &amp; Fees'!$B144)</f>
        <v>0</v>
      </c>
      <c r="T144" s="115">
        <f>SUMIFS('Invoices - Preopening'!$I$20:$I$299,'Invoices - Preopening'!$H$20:$H$299,"&gt;="&amp;T$6,'Invoices - Preopening'!$H$20:$H$299,"&lt;="&amp;T$7,'Invoices - Preopening'!$C$20:$C$299,'Model - Preopening &amp; Fees'!$B144)</f>
        <v>0</v>
      </c>
      <c r="U144" s="115">
        <f>SUMIFS('Invoices - Preopening'!$I$20:$I$299,'Invoices - Preopening'!$H$20:$H$299,"&gt;="&amp;U$6,'Invoices - Preopening'!$H$20:$H$299,"&lt;="&amp;U$7,'Invoices - Preopening'!$C$20:$C$299,'Model - Preopening &amp; Fees'!$B144)</f>
        <v>0</v>
      </c>
      <c r="V144" s="115">
        <f>SUMIFS('Invoices - Preopening'!$I$20:$I$299,'Invoices - Preopening'!$H$20:$H$299,"&gt;="&amp;V$6,'Invoices - Preopening'!$H$20:$H$299,"&lt;="&amp;V$7,'Invoices - Preopening'!$C$20:$C$299,'Model - Preopening &amp; Fees'!$B144)</f>
        <v>0</v>
      </c>
      <c r="W144" s="115">
        <f>SUMIFS('Invoices - Preopening'!$I$20:$I$299,'Invoices - Preopening'!$H$20:$H$299,"&gt;="&amp;W$6,'Invoices - Preopening'!$H$20:$H$299,"&lt;="&amp;W$7,'Invoices - Preopening'!$C$20:$C$299,'Model - Preopening &amp; Fees'!$B144)</f>
        <v>0</v>
      </c>
      <c r="X144" s="115">
        <f>SUMIFS('Invoices - Preopening'!$I$20:$I$299,'Invoices - Preopening'!$H$20:$H$299,"&gt;="&amp;X$6,'Invoices - Preopening'!$H$20:$H$299,"&lt;="&amp;X$7,'Invoices - Preopening'!$C$20:$C$299,'Model - Preopening &amp; Fees'!$B144)</f>
        <v>11750</v>
      </c>
      <c r="Y144" s="115">
        <f>SUMIFS('Invoices - Preopening'!$I$20:$I$299,'Invoices - Preopening'!$H$20:$H$299,"&gt;="&amp;Y$6,'Invoices - Preopening'!$H$20:$H$299,"&lt;="&amp;Y$7,'Invoices - Preopening'!$C$20:$C$299,'Model - Preopening &amp; Fees'!$B144)</f>
        <v>11750</v>
      </c>
      <c r="Z144" s="115">
        <f>SUMIFS('Invoices - Preopening'!$I$20:$I$299,'Invoices - Preopening'!$H$20:$H$299,"&gt;="&amp;Z$6,'Invoices - Preopening'!$H$20:$H$299,"&lt;="&amp;Z$7,'Invoices - Preopening'!$C$20:$C$299,'Model - Preopening &amp; Fees'!$B144)</f>
        <v>11750</v>
      </c>
      <c r="AA144" s="115">
        <f>SUMIFS('Invoices - Preopening'!$I$20:$I$299,'Invoices - Preopening'!$H$20:$H$299,"&gt;="&amp;AA$6,'Invoices - Preopening'!$H$20:$H$299,"&lt;="&amp;AA$7,'Invoices - Preopening'!$C$20:$C$299,'Model - Preopening &amp; Fees'!$B144)</f>
        <v>11750</v>
      </c>
      <c r="AB144" s="115">
        <f>SUMIFS('Invoices - Preopening'!$I$20:$I$299,'Invoices - Preopening'!$H$20:$H$299,"&gt;="&amp;AB$6,'Invoices - Preopening'!$H$20:$H$299,"&lt;="&amp;AB$7,'Invoices - Preopening'!$C$20:$C$299,'Model - Preopening &amp; Fees'!$B144)</f>
        <v>11750</v>
      </c>
      <c r="AC144" s="115">
        <f>SUMIFS('Invoices - Preopening'!$I$20:$I$299,'Invoices - Preopening'!$H$20:$H$299,"&gt;="&amp;AC$6,'Invoices - Preopening'!$H$20:$H$299,"&lt;="&amp;AC$7,'Invoices - Preopening'!$C$20:$C$299,'Model - Preopening &amp; Fees'!$B144)</f>
        <v>13406.25</v>
      </c>
      <c r="AD144" s="9">
        <v>13406.25</v>
      </c>
      <c r="AE144" s="9">
        <v>13406.25</v>
      </c>
      <c r="AF144" s="9">
        <v>13406.25</v>
      </c>
      <c r="AG144" s="9">
        <v>13406.25</v>
      </c>
      <c r="AH144" s="9">
        <v>13406.25</v>
      </c>
      <c r="AI144" s="9">
        <v>13406.25</v>
      </c>
      <c r="AJ144" s="9">
        <v>13406.25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T144" s="24">
        <f t="shared" ref="AT144:BD145" si="156">-SUMIFS($L144:$AR144,$L$5:$AR$5,AT$5)</f>
        <v>-97000</v>
      </c>
      <c r="AU144" s="24">
        <f t="shared" si="156"/>
        <v>-97000</v>
      </c>
      <c r="AV144" s="24">
        <f t="shared" si="156"/>
        <v>0</v>
      </c>
      <c r="AW144" s="24">
        <f t="shared" si="156"/>
        <v>0</v>
      </c>
      <c r="AX144" s="24">
        <f t="shared" si="156"/>
        <v>-35250</v>
      </c>
      <c r="AY144" s="1">
        <f t="shared" si="156"/>
        <v>-36906.25</v>
      </c>
      <c r="AZ144" s="1">
        <f t="shared" si="156"/>
        <v>-40218.75</v>
      </c>
      <c r="BA144" s="1">
        <f t="shared" si="156"/>
        <v>-40218.75</v>
      </c>
      <c r="BB144" s="1">
        <f t="shared" si="156"/>
        <v>-13406.25</v>
      </c>
      <c r="BC144" s="1">
        <f t="shared" si="156"/>
        <v>0</v>
      </c>
      <c r="BD144" s="1">
        <f t="shared" si="156"/>
        <v>0</v>
      </c>
      <c r="BF144" s="1">
        <f>SUM(AT144:BD144)</f>
        <v>-360000</v>
      </c>
    </row>
    <row r="145" spans="2:58" x14ac:dyDescent="0.25">
      <c r="B145" s="22" t="s">
        <v>181</v>
      </c>
      <c r="C145" s="22"/>
      <c r="D145" s="54" t="s">
        <v>178</v>
      </c>
      <c r="E145" s="54" t="s">
        <v>174</v>
      </c>
      <c r="F145" s="55">
        <v>60000</v>
      </c>
      <c r="G145" s="60">
        <f>SUMIFS($L145:$AR145,$L$7:$AR$7,"&lt;="&amp;$J$4)</f>
        <v>0</v>
      </c>
      <c r="H145" s="60">
        <f t="shared" si="154"/>
        <v>60000</v>
      </c>
      <c r="J145" s="18">
        <f t="shared" si="155"/>
        <v>60000</v>
      </c>
      <c r="L145" s="116">
        <f>SUMIFS('Invoices - Preopening'!$I$20:$I$299,'Invoices - Preopening'!$H$20:$H$299,"&gt;="&amp;L$6,'Invoices - Preopening'!$H$20:$H$299,"&lt;="&amp;L$7,'Invoices - Preopening'!$C$20:$C$299,'Model - Preopening &amp; Fees'!$B145)</f>
        <v>0</v>
      </c>
      <c r="M145" s="116">
        <f>SUMIFS('Invoices - Preopening'!$I$20:$I$299,'Invoices - Preopening'!$H$20:$H$299,"&gt;="&amp;M$6,'Invoices - Preopening'!$H$20:$H$299,"&lt;="&amp;M$7,'Invoices - Preopening'!$C$20:$C$299,'Model - Preopening &amp; Fees'!$B145)</f>
        <v>0</v>
      </c>
      <c r="N145" s="116">
        <f>SUMIFS('Invoices - Preopening'!$I$20:$I$299,'Invoices - Preopening'!$H$20:$H$299,"&gt;="&amp;N$6,'Invoices - Preopening'!$H$20:$H$299,"&lt;="&amp;N$7,'Invoices - Preopening'!$C$20:$C$299,'Model - Preopening &amp; Fees'!$B145)</f>
        <v>0</v>
      </c>
      <c r="O145" s="116">
        <f>SUMIFS('Invoices - Preopening'!$I$20:$I$299,'Invoices - Preopening'!$H$20:$H$299,"&gt;="&amp;O$6,'Invoices - Preopening'!$H$20:$H$299,"&lt;="&amp;O$7,'Invoices - Preopening'!$C$20:$C$299,'Model - Preopening &amp; Fees'!$B145)</f>
        <v>0</v>
      </c>
      <c r="P145" s="116">
        <f>SUMIFS('Invoices - Preopening'!$I$20:$I$299,'Invoices - Preopening'!$H$20:$H$299,"&gt;="&amp;P$6,'Invoices - Preopening'!$H$20:$H$299,"&lt;="&amp;P$7,'Invoices - Preopening'!$C$20:$C$299,'Model - Preopening &amp; Fees'!$B145)</f>
        <v>0</v>
      </c>
      <c r="Q145" s="116">
        <f>SUMIFS('Invoices - Preopening'!$I$20:$I$299,'Invoices - Preopening'!$H$20:$H$299,"&gt;="&amp;Q$6,'Invoices - Preopening'!$H$20:$H$299,"&lt;="&amp;Q$7,'Invoices - Preopening'!$C$20:$C$299,'Model - Preopening &amp; Fees'!$B145)</f>
        <v>0</v>
      </c>
      <c r="R145" s="116">
        <f>SUMIFS('Invoices - Preopening'!$I$20:$I$299,'Invoices - Preopening'!$H$20:$H$299,"&gt;="&amp;R$6,'Invoices - Preopening'!$H$20:$H$299,"&lt;="&amp;R$7,'Invoices - Preopening'!$C$20:$C$299,'Model - Preopening &amp; Fees'!$B145)</f>
        <v>0</v>
      </c>
      <c r="S145" s="116">
        <f>SUMIFS('Invoices - Preopening'!$I$20:$I$299,'Invoices - Preopening'!$H$20:$H$299,"&gt;="&amp;S$6,'Invoices - Preopening'!$H$20:$H$299,"&lt;="&amp;S$7,'Invoices - Preopening'!$C$20:$C$299,'Model - Preopening &amp; Fees'!$B145)</f>
        <v>0</v>
      </c>
      <c r="T145" s="116">
        <f>SUMIFS('Invoices - Preopening'!$I$20:$I$299,'Invoices - Preopening'!$H$20:$H$299,"&gt;="&amp;T$6,'Invoices - Preopening'!$H$20:$H$299,"&lt;="&amp;T$7,'Invoices - Preopening'!$C$20:$C$299,'Model - Preopening &amp; Fees'!$B145)</f>
        <v>0</v>
      </c>
      <c r="U145" s="116">
        <f>SUMIFS('Invoices - Preopening'!$I$20:$I$299,'Invoices - Preopening'!$H$20:$H$299,"&gt;="&amp;U$6,'Invoices - Preopening'!$H$20:$H$299,"&lt;="&amp;U$7,'Invoices - Preopening'!$C$20:$C$299,'Model - Preopening &amp; Fees'!$B145)</f>
        <v>0</v>
      </c>
      <c r="V145" s="116">
        <f>SUMIFS('Invoices - Preopening'!$I$20:$I$299,'Invoices - Preopening'!$H$20:$H$299,"&gt;="&amp;V$6,'Invoices - Preopening'!$H$20:$H$299,"&lt;="&amp;V$7,'Invoices - Preopening'!$C$20:$C$299,'Model - Preopening &amp; Fees'!$B145)</f>
        <v>0</v>
      </c>
      <c r="W145" s="116">
        <f>SUMIFS('Invoices - Preopening'!$I$20:$I$299,'Invoices - Preopening'!$H$20:$H$299,"&gt;="&amp;W$6,'Invoices - Preopening'!$H$20:$H$299,"&lt;="&amp;W$7,'Invoices - Preopening'!$C$20:$C$299,'Model - Preopening &amp; Fees'!$B145)</f>
        <v>0</v>
      </c>
      <c r="X145" s="116">
        <f>SUMIFS('Invoices - Preopening'!$I$20:$I$299,'Invoices - Preopening'!$H$20:$H$299,"&gt;="&amp;X$6,'Invoices - Preopening'!$H$20:$H$299,"&lt;="&amp;X$7,'Invoices - Preopening'!$C$20:$C$299,'Model - Preopening &amp; Fees'!$B145)</f>
        <v>0</v>
      </c>
      <c r="Y145" s="116">
        <f>SUMIFS('Invoices - Preopening'!$I$20:$I$299,'Invoices - Preopening'!$H$20:$H$299,"&gt;="&amp;Y$6,'Invoices - Preopening'!$H$20:$H$299,"&lt;="&amp;Y$7,'Invoices - Preopening'!$C$20:$C$299,'Model - Preopening &amp; Fees'!$B145)</f>
        <v>0</v>
      </c>
      <c r="Z145" s="116">
        <f>SUMIFS('Invoices - Preopening'!$I$20:$I$299,'Invoices - Preopening'!$H$20:$H$299,"&gt;="&amp;Z$6,'Invoices - Preopening'!$H$20:$H$299,"&lt;="&amp;Z$7,'Invoices - Preopening'!$C$20:$C$299,'Model - Preopening &amp; Fees'!$B145)</f>
        <v>0</v>
      </c>
      <c r="AA145" s="116">
        <f>SUMIFS('Invoices - Preopening'!$I$20:$I$299,'Invoices - Preopening'!$H$20:$H$299,"&gt;="&amp;AA$6,'Invoices - Preopening'!$H$20:$H$299,"&lt;="&amp;AA$7,'Invoices - Preopening'!$C$20:$C$299,'Model - Preopening &amp; Fees'!$B145)</f>
        <v>0</v>
      </c>
      <c r="AB145" s="116">
        <f>SUMIFS('Invoices - Preopening'!$I$20:$I$299,'Invoices - Preopening'!$H$20:$H$299,"&gt;="&amp;AB$6,'Invoices - Preopening'!$H$20:$H$299,"&lt;="&amp;AB$7,'Invoices - Preopening'!$C$20:$C$299,'Model - Preopening &amp; Fees'!$B145)</f>
        <v>0</v>
      </c>
      <c r="AC145" s="116">
        <f>SUMIFS('Invoices - Preopening'!$I$20:$I$299,'Invoices - Preopening'!$H$20:$H$299,"&gt;="&amp;AC$6,'Invoices - Preopening'!$H$20:$H$299,"&lt;="&amp;AC$7,'Invoices - Preopening'!$C$20:$C$299,'Model - Preopening &amp; Fees'!$B145)</f>
        <v>0</v>
      </c>
      <c r="AD145" s="55">
        <v>0</v>
      </c>
      <c r="AE145" s="55">
        <v>12000</v>
      </c>
      <c r="AF145" s="55">
        <v>12000</v>
      </c>
      <c r="AG145" s="55">
        <v>12000</v>
      </c>
      <c r="AH145" s="55">
        <v>12000</v>
      </c>
      <c r="AI145" s="55">
        <v>12000</v>
      </c>
      <c r="AJ145" s="55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8">
        <v>0</v>
      </c>
      <c r="AT145" s="25">
        <f t="shared" si="156"/>
        <v>0</v>
      </c>
      <c r="AU145" s="25">
        <f t="shared" si="156"/>
        <v>0</v>
      </c>
      <c r="AV145" s="25">
        <f t="shared" si="156"/>
        <v>0</v>
      </c>
      <c r="AW145" s="25">
        <f t="shared" si="156"/>
        <v>0</v>
      </c>
      <c r="AX145" s="25">
        <f t="shared" si="156"/>
        <v>0</v>
      </c>
      <c r="AY145" s="18">
        <f t="shared" si="156"/>
        <v>0</v>
      </c>
      <c r="AZ145" s="18">
        <f t="shared" si="156"/>
        <v>-24000</v>
      </c>
      <c r="BA145" s="18">
        <f t="shared" si="156"/>
        <v>-36000</v>
      </c>
      <c r="BB145" s="18">
        <f t="shared" si="156"/>
        <v>0</v>
      </c>
      <c r="BC145" s="18">
        <f t="shared" si="156"/>
        <v>0</v>
      </c>
      <c r="BD145" s="18">
        <f t="shared" si="156"/>
        <v>0</v>
      </c>
      <c r="BF145" s="18">
        <f>SUM(AT145:BD145)</f>
        <v>-60000</v>
      </c>
    </row>
    <row r="146" spans="2:58" s="20" customFormat="1" x14ac:dyDescent="0.25">
      <c r="B146" s="20" t="s">
        <v>182</v>
      </c>
      <c r="F146" s="15">
        <f>SUM(F144:F145)</f>
        <v>420000</v>
      </c>
      <c r="G146" s="15">
        <f t="shared" ref="G146:H146" si="157">SUM(G144:G145)</f>
        <v>266156.25</v>
      </c>
      <c r="H146" s="15">
        <f t="shared" si="157"/>
        <v>153843.75</v>
      </c>
      <c r="J146" s="15">
        <f t="shared" si="155"/>
        <v>420000</v>
      </c>
      <c r="L146" s="15">
        <f>SUM(L144:L145)</f>
        <v>97000</v>
      </c>
      <c r="M146" s="15">
        <f t="shared" ref="M146:W146" si="158">SUM(M144:M145)</f>
        <v>0</v>
      </c>
      <c r="N146" s="15">
        <f t="shared" si="158"/>
        <v>0</v>
      </c>
      <c r="O146" s="15">
        <f t="shared" si="158"/>
        <v>97000</v>
      </c>
      <c r="P146" s="15">
        <f t="shared" si="158"/>
        <v>0</v>
      </c>
      <c r="Q146" s="15">
        <f t="shared" si="158"/>
        <v>0</v>
      </c>
      <c r="R146" s="15">
        <f t="shared" si="158"/>
        <v>0</v>
      </c>
      <c r="S146" s="15">
        <f t="shared" si="158"/>
        <v>0</v>
      </c>
      <c r="T146" s="15">
        <f t="shared" si="158"/>
        <v>0</v>
      </c>
      <c r="U146" s="15">
        <f t="shared" si="158"/>
        <v>0</v>
      </c>
      <c r="V146" s="15">
        <f t="shared" si="158"/>
        <v>0</v>
      </c>
      <c r="W146" s="15">
        <f t="shared" si="158"/>
        <v>0</v>
      </c>
      <c r="X146" s="15">
        <f t="shared" ref="X146" si="159">SUM(X144:X145)</f>
        <v>11750</v>
      </c>
      <c r="Y146" s="15">
        <f t="shared" ref="Y146" si="160">SUM(Y144:Y145)</f>
        <v>11750</v>
      </c>
      <c r="Z146" s="15">
        <f t="shared" ref="Z146" si="161">SUM(Z144:Z145)</f>
        <v>11750</v>
      </c>
      <c r="AA146" s="15">
        <f t="shared" ref="AA146" si="162">SUM(AA144:AA145)</f>
        <v>11750</v>
      </c>
      <c r="AB146" s="15">
        <f t="shared" ref="AB146" si="163">SUM(AB144:AB145)</f>
        <v>11750</v>
      </c>
      <c r="AC146" s="15">
        <f t="shared" ref="AC146" si="164">SUM(AC144:AC145)</f>
        <v>13406.25</v>
      </c>
      <c r="AD146" s="15">
        <f t="shared" ref="AD146" si="165">SUM(AD144:AD145)</f>
        <v>13406.25</v>
      </c>
      <c r="AE146" s="15">
        <f t="shared" ref="AE146" si="166">SUM(AE144:AE145)</f>
        <v>25406.25</v>
      </c>
      <c r="AF146" s="15">
        <f t="shared" ref="AF146" si="167">SUM(AF144:AF145)</f>
        <v>25406.25</v>
      </c>
      <c r="AG146" s="15">
        <f t="shared" ref="AG146" si="168">SUM(AG144:AG145)</f>
        <v>25406.25</v>
      </c>
      <c r="AH146" s="15">
        <f t="shared" ref="AH146" si="169">SUM(AH144:AH145)</f>
        <v>25406.25</v>
      </c>
      <c r="AI146" s="15">
        <f t="shared" ref="AI146" si="170">SUM(AI144:AI145)</f>
        <v>25406.25</v>
      </c>
      <c r="AJ146" s="15">
        <f t="shared" ref="AJ146" si="171">SUM(AJ144:AJ145)</f>
        <v>13406.25</v>
      </c>
      <c r="AK146" s="15">
        <f t="shared" ref="AK146" si="172">SUM(AK144:AK145)</f>
        <v>0</v>
      </c>
      <c r="AL146" s="15">
        <f t="shared" ref="AL146" si="173">SUM(AL144:AL145)</f>
        <v>0</v>
      </c>
      <c r="AM146" s="15">
        <f t="shared" ref="AM146" si="174">SUM(AM144:AM145)</f>
        <v>0</v>
      </c>
      <c r="AN146" s="15">
        <f t="shared" ref="AN146" si="175">SUM(AN144:AN145)</f>
        <v>0</v>
      </c>
      <c r="AO146" s="15">
        <f t="shared" ref="AO146" si="176">SUM(AO144:AO145)</f>
        <v>0</v>
      </c>
      <c r="AP146" s="15">
        <f t="shared" ref="AP146" si="177">SUM(AP144:AP145)</f>
        <v>0</v>
      </c>
      <c r="AQ146" s="15">
        <f t="shared" ref="AQ146" si="178">SUM(AQ144:AQ145)</f>
        <v>0</v>
      </c>
      <c r="AR146" s="15">
        <f t="shared" ref="AR146" si="179">SUM(AR144:AR145)</f>
        <v>0</v>
      </c>
      <c r="AT146" s="15">
        <f t="shared" ref="AT146" si="180">SUM(AT144:AT145)</f>
        <v>-97000</v>
      </c>
      <c r="AU146" s="15">
        <f t="shared" ref="AU146" si="181">SUM(AU144:AU145)</f>
        <v>-97000</v>
      </c>
      <c r="AV146" s="15">
        <f t="shared" ref="AV146" si="182">SUM(AV144:AV145)</f>
        <v>0</v>
      </c>
      <c r="AW146" s="15">
        <f t="shared" ref="AW146" si="183">SUM(AW144:AW145)</f>
        <v>0</v>
      </c>
      <c r="AX146" s="15">
        <f t="shared" ref="AX146" si="184">SUM(AX144:AX145)</f>
        <v>-35250</v>
      </c>
      <c r="AY146" s="15">
        <f t="shared" ref="AY146" si="185">SUM(AY144:AY145)</f>
        <v>-36906.25</v>
      </c>
      <c r="AZ146" s="15">
        <f t="shared" ref="AZ146" si="186">SUM(AZ144:AZ145)</f>
        <v>-64218.75</v>
      </c>
      <c r="BA146" s="15">
        <f t="shared" ref="BA146" si="187">SUM(BA144:BA145)</f>
        <v>-76218.75</v>
      </c>
      <c r="BB146" s="15">
        <f t="shared" ref="BB146" si="188">SUM(BB144:BB145)</f>
        <v>-13406.25</v>
      </c>
      <c r="BC146" s="15">
        <f t="shared" ref="BC146" si="189">SUM(BC144:BC145)</f>
        <v>0</v>
      </c>
      <c r="BD146" s="15">
        <f t="shared" ref="BD146" si="190">SUM(BD144:BD145)</f>
        <v>0</v>
      </c>
      <c r="BF146" s="15">
        <f>SUM(AT146:BD146)</f>
        <v>-420000</v>
      </c>
    </row>
    <row r="147" spans="2:58" x14ac:dyDescent="0.25">
      <c r="J147" s="1"/>
    </row>
    <row r="148" spans="2:58" x14ac:dyDescent="0.25">
      <c r="B148" s="4" t="s">
        <v>183</v>
      </c>
      <c r="C148" s="4"/>
      <c r="D148" s="53"/>
      <c r="E148" s="53"/>
      <c r="F148" s="53"/>
      <c r="G148" s="53"/>
      <c r="H148" s="53"/>
      <c r="J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  <c r="AF148" s="140"/>
      <c r="AG148" s="140"/>
      <c r="AH148" s="140"/>
      <c r="AI148" s="140"/>
      <c r="AJ148" s="140"/>
      <c r="AK148" s="140"/>
      <c r="AL148" s="140"/>
      <c r="AM148" s="140"/>
      <c r="AN148" s="140"/>
      <c r="AO148" s="140"/>
      <c r="AP148" s="140"/>
      <c r="AQ148" s="140"/>
      <c r="AR148" s="140"/>
      <c r="AT148" s="140"/>
      <c r="AU148" s="140"/>
      <c r="AV148" s="140"/>
      <c r="AW148" s="140"/>
      <c r="AX148" s="140"/>
      <c r="AY148" s="140"/>
      <c r="AZ148" s="140"/>
      <c r="BA148" s="140"/>
      <c r="BB148" s="140"/>
      <c r="BC148" s="140"/>
      <c r="BD148" s="140"/>
      <c r="BF148" s="140"/>
    </row>
    <row r="150" spans="2:58" s="20" customFormat="1" x14ac:dyDescent="0.25">
      <c r="B150" s="57" t="s">
        <v>120</v>
      </c>
      <c r="C150" s="57"/>
      <c r="D150" s="58" t="s">
        <v>121</v>
      </c>
      <c r="E150" s="58"/>
      <c r="F150" s="58" t="s">
        <v>120</v>
      </c>
      <c r="G150" s="58" t="s">
        <v>123</v>
      </c>
      <c r="H150" s="58" t="s">
        <v>124</v>
      </c>
      <c r="J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  <c r="BF150" s="58"/>
    </row>
    <row r="151" spans="2:58" x14ac:dyDescent="0.25">
      <c r="B151" s="21" t="s">
        <v>184</v>
      </c>
      <c r="C151" s="21"/>
      <c r="D151" s="2" t="s">
        <v>183</v>
      </c>
      <c r="E151" s="2"/>
      <c r="F151" s="9">
        <v>0</v>
      </c>
      <c r="G151" s="59">
        <f>SUMIFS($L151:$AR151,$L$7:$AR$7,"&lt;="&amp;$J$4)</f>
        <v>70160.98</v>
      </c>
      <c r="H151" s="59">
        <f t="shared" ref="H151:H155" si="191">J151-G151</f>
        <v>0</v>
      </c>
      <c r="J151" s="143">
        <f t="shared" ref="J151:J156" si="192">SUM(L151:AR151)</f>
        <v>70160.98</v>
      </c>
      <c r="L151" s="115">
        <f>SUMIFS('Invoices - Preopening'!$I$20:$I$299,'Invoices - Preopening'!$H$20:$H$299,"&gt;="&amp;L$6,'Invoices - Preopening'!$H$20:$H$299,"&lt;="&amp;L$7,'Invoices - Preopening'!$C$20:$C$299,'Model - Preopening &amp; Fees'!$B151)</f>
        <v>0</v>
      </c>
      <c r="M151" s="115">
        <f>SUMIFS('Invoices - Preopening'!$I$20:$I$299,'Invoices - Preopening'!$H$20:$H$299,"&gt;="&amp;M$6,'Invoices - Preopening'!$H$20:$H$299,"&lt;="&amp;M$7,'Invoices - Preopening'!$C$20:$C$299,'Model - Preopening &amp; Fees'!$B151)</f>
        <v>0</v>
      </c>
      <c r="N151" s="115">
        <f>SUMIFS('Invoices - Preopening'!$I$20:$I$299,'Invoices - Preopening'!$H$20:$H$299,"&gt;="&amp;N$6,'Invoices - Preopening'!$H$20:$H$299,"&lt;="&amp;N$7,'Invoices - Preopening'!$C$20:$C$299,'Model - Preopening &amp; Fees'!$B151)</f>
        <v>0</v>
      </c>
      <c r="O151" s="115">
        <f>SUMIFS('Invoices - Preopening'!$I$20:$I$299,'Invoices - Preopening'!$H$20:$H$299,"&gt;="&amp;O$6,'Invoices - Preopening'!$H$20:$H$299,"&lt;="&amp;O$7,'Invoices - Preopening'!$C$20:$C$299,'Model - Preopening &amp; Fees'!$B151)</f>
        <v>0</v>
      </c>
      <c r="P151" s="115">
        <f>SUMIFS('Invoices - Preopening'!$I$20:$I$299,'Invoices - Preopening'!$H$20:$H$299,"&gt;="&amp;P$6,'Invoices - Preopening'!$H$20:$H$299,"&lt;="&amp;P$7,'Invoices - Preopening'!$C$20:$C$299,'Model - Preopening &amp; Fees'!$B151)</f>
        <v>0</v>
      </c>
      <c r="Q151" s="115">
        <f>SUMIFS('Invoices - Preopening'!$I$20:$I$299,'Invoices - Preopening'!$H$20:$H$299,"&gt;="&amp;Q$6,'Invoices - Preopening'!$H$20:$H$299,"&lt;="&amp;Q$7,'Invoices - Preopening'!$C$20:$C$299,'Model - Preopening &amp; Fees'!$B151)</f>
        <v>0</v>
      </c>
      <c r="R151" s="115">
        <f>SUMIFS('Invoices - Preopening'!$I$20:$I$299,'Invoices - Preopening'!$H$20:$H$299,"&gt;="&amp;R$6,'Invoices - Preopening'!$H$20:$H$299,"&lt;="&amp;R$7,'Invoices - Preopening'!$C$20:$C$299,'Model - Preopening &amp; Fees'!$B151)</f>
        <v>0</v>
      </c>
      <c r="S151" s="115">
        <f>SUMIFS('Invoices - Preopening'!$I$20:$I$299,'Invoices - Preopening'!$H$20:$H$299,"&gt;="&amp;S$6,'Invoices - Preopening'!$H$20:$H$299,"&lt;="&amp;S$7,'Invoices - Preopening'!$C$20:$C$299,'Model - Preopening &amp; Fees'!$B151)</f>
        <v>0</v>
      </c>
      <c r="T151" s="115">
        <f>SUMIFS('Invoices - Preopening'!$I$20:$I$299,'Invoices - Preopening'!$H$20:$H$299,"&gt;="&amp;T$6,'Invoices - Preopening'!$H$20:$H$299,"&lt;="&amp;T$7,'Invoices - Preopening'!$C$20:$C$299,'Model - Preopening &amp; Fees'!$B151)</f>
        <v>0</v>
      </c>
      <c r="U151" s="115">
        <f>SUMIFS('Invoices - Preopening'!$I$20:$I$299,'Invoices - Preopening'!$H$20:$H$299,"&gt;="&amp;U$6,'Invoices - Preopening'!$H$20:$H$299,"&lt;="&amp;U$7,'Invoices - Preopening'!$C$20:$C$299,'Model - Preopening &amp; Fees'!$B151)</f>
        <v>0</v>
      </c>
      <c r="V151" s="115">
        <f>SUMIFS('Invoices - Preopening'!$I$20:$I$299,'Invoices - Preopening'!$H$20:$H$299,"&gt;="&amp;V$6,'Invoices - Preopening'!$H$20:$H$299,"&lt;="&amp;V$7,'Invoices - Preopening'!$C$20:$C$299,'Model - Preopening &amp; Fees'!$B151)</f>
        <v>0</v>
      </c>
      <c r="W151" s="115">
        <f>SUMIFS('Invoices - Preopening'!$I$20:$I$299,'Invoices - Preopening'!$H$20:$H$299,"&gt;="&amp;W$6,'Invoices - Preopening'!$H$20:$H$299,"&lt;="&amp;W$7,'Invoices - Preopening'!$C$20:$C$299,'Model - Preopening &amp; Fees'!$B151)</f>
        <v>0</v>
      </c>
      <c r="X151" s="115">
        <f>SUMIFS('Invoices - Preopening'!$I$20:$I$299,'Invoices - Preopening'!$H$20:$H$299,"&gt;="&amp;X$6,'Invoices - Preopening'!$H$20:$H$299,"&lt;="&amp;X$7,'Invoices - Preopening'!$C$20:$C$299,'Model - Preopening &amp; Fees'!$B151)</f>
        <v>0</v>
      </c>
      <c r="Y151" s="115">
        <f>SUMIFS('Invoices - Preopening'!$I$20:$I$299,'Invoices - Preopening'!$H$20:$H$299,"&gt;="&amp;Y$6,'Invoices - Preopening'!$H$20:$H$299,"&lt;="&amp;Y$7,'Invoices - Preopening'!$C$20:$C$299,'Model - Preopening &amp; Fees'!$B151)</f>
        <v>0</v>
      </c>
      <c r="Z151" s="115">
        <f>SUMIFS('Invoices - Preopening'!$I$20:$I$299,'Invoices - Preopening'!$H$20:$H$299,"&gt;="&amp;Z$6,'Invoices - Preopening'!$H$20:$H$299,"&lt;="&amp;Z$7,'Invoices - Preopening'!$C$20:$C$299,'Model - Preopening &amp; Fees'!$B151)</f>
        <v>70160.98</v>
      </c>
      <c r="AA151" s="115">
        <f>SUMIFS('Invoices - Preopening'!$I$20:$I$299,'Invoices - Preopening'!$H$20:$H$299,"&gt;="&amp;AA$6,'Invoices - Preopening'!$H$20:$H$299,"&lt;="&amp;AA$7,'Invoices - Preopening'!$C$20:$C$299,'Model - Preopening &amp; Fees'!$B151)</f>
        <v>0</v>
      </c>
      <c r="AB151" s="115">
        <f>SUMIFS('Invoices - Preopening'!$I$20:$I$299,'Invoices - Preopening'!$H$20:$H$299,"&gt;="&amp;AB$6,'Invoices - Preopening'!$H$20:$H$299,"&lt;="&amp;AB$7,'Invoices - Preopening'!$C$20:$C$299,'Model - Preopening &amp; Fees'!$B151)</f>
        <v>0</v>
      </c>
      <c r="AC151" s="115">
        <f>SUMIFS('Invoices - Preopening'!$I$20:$I$299,'Invoices - Preopening'!$H$20:$H$299,"&gt;="&amp;AC$6,'Invoices - Preopening'!$H$20:$H$299,"&lt;="&amp;AC$7,'Invoices - Preopening'!$C$20:$C$299,'Model - Preopening &amp; Fees'!$B151)</f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T151" s="24">
        <f t="shared" ref="AT151:BD155" si="193">-SUMIFS($L151:$AR151,$L$5:$AR$5,AT$5)</f>
        <v>0</v>
      </c>
      <c r="AU151" s="24">
        <f t="shared" si="193"/>
        <v>0</v>
      </c>
      <c r="AV151" s="24">
        <f t="shared" si="193"/>
        <v>0</v>
      </c>
      <c r="AW151" s="24">
        <f t="shared" si="193"/>
        <v>0</v>
      </c>
      <c r="AX151" s="24">
        <f t="shared" si="193"/>
        <v>-70160.98</v>
      </c>
      <c r="AY151" s="1">
        <f t="shared" si="193"/>
        <v>0</v>
      </c>
      <c r="AZ151" s="1">
        <f t="shared" si="193"/>
        <v>0</v>
      </c>
      <c r="BA151" s="1">
        <f t="shared" si="193"/>
        <v>0</v>
      </c>
      <c r="BB151" s="1">
        <f t="shared" si="193"/>
        <v>0</v>
      </c>
      <c r="BC151" s="1">
        <f t="shared" si="193"/>
        <v>0</v>
      </c>
      <c r="BD151" s="1">
        <f t="shared" si="193"/>
        <v>0</v>
      </c>
      <c r="BF151" s="1">
        <f t="shared" ref="BF151:BF156" si="194">SUM(AT151:BD151)</f>
        <v>-70160.98</v>
      </c>
    </row>
    <row r="152" spans="2:58" x14ac:dyDescent="0.25">
      <c r="B152" s="65" t="s">
        <v>297</v>
      </c>
      <c r="C152" s="65"/>
      <c r="D152" s="2" t="s">
        <v>183</v>
      </c>
      <c r="E152" s="2"/>
      <c r="F152" s="9">
        <v>1800</v>
      </c>
      <c r="G152" s="59">
        <f>SUMIFS($L152:$AR152,$L$7:$AR$7,"&lt;="&amp;$J$4)</f>
        <v>1800</v>
      </c>
      <c r="H152" s="59">
        <f t="shared" si="191"/>
        <v>0</v>
      </c>
      <c r="J152" s="1">
        <f t="shared" si="192"/>
        <v>1800</v>
      </c>
      <c r="L152" s="115">
        <f>SUMIFS('Invoices - Preopening'!$I$20:$I$299,'Invoices - Preopening'!$H$20:$H$299,"&gt;="&amp;L$6,'Invoices - Preopening'!$H$20:$H$299,"&lt;="&amp;L$7,'Invoices - Preopening'!$C$20:$C$299,'Model - Preopening &amp; Fees'!$B152)</f>
        <v>0</v>
      </c>
      <c r="M152" s="115">
        <f>SUMIFS('Invoices - Preopening'!$I$20:$I$299,'Invoices - Preopening'!$H$20:$H$299,"&gt;="&amp;M$6,'Invoices - Preopening'!$H$20:$H$299,"&lt;="&amp;M$7,'Invoices - Preopening'!$C$20:$C$299,'Model - Preopening &amp; Fees'!$B152)</f>
        <v>0</v>
      </c>
      <c r="N152" s="115">
        <f>SUMIFS('Invoices - Preopening'!$I$20:$I$299,'Invoices - Preopening'!$H$20:$H$299,"&gt;="&amp;N$6,'Invoices - Preopening'!$H$20:$H$299,"&lt;="&amp;N$7,'Invoices - Preopening'!$C$20:$C$299,'Model - Preopening &amp; Fees'!$B152)</f>
        <v>0</v>
      </c>
      <c r="O152" s="115">
        <f>SUMIFS('Invoices - Preopening'!$I$20:$I$299,'Invoices - Preopening'!$H$20:$H$299,"&gt;="&amp;O$6,'Invoices - Preopening'!$H$20:$H$299,"&lt;="&amp;O$7,'Invoices - Preopening'!$C$20:$C$299,'Model - Preopening &amp; Fees'!$B152)</f>
        <v>0</v>
      </c>
      <c r="P152" s="115">
        <f>SUMIFS('Invoices - Preopening'!$I$20:$I$299,'Invoices - Preopening'!$H$20:$H$299,"&gt;="&amp;P$6,'Invoices - Preopening'!$H$20:$H$299,"&lt;="&amp;P$7,'Invoices - Preopening'!$C$20:$C$299,'Model - Preopening &amp; Fees'!$B152)</f>
        <v>0</v>
      </c>
      <c r="Q152" s="115">
        <f>SUMIFS('Invoices - Preopening'!$I$20:$I$299,'Invoices - Preopening'!$H$20:$H$299,"&gt;="&amp;Q$6,'Invoices - Preopening'!$H$20:$H$299,"&lt;="&amp;Q$7,'Invoices - Preopening'!$C$20:$C$299,'Model - Preopening &amp; Fees'!$B152)</f>
        <v>0</v>
      </c>
      <c r="R152" s="115">
        <f>SUMIFS('Invoices - Preopening'!$I$20:$I$299,'Invoices - Preopening'!$H$20:$H$299,"&gt;="&amp;R$6,'Invoices - Preopening'!$H$20:$H$299,"&lt;="&amp;R$7,'Invoices - Preopening'!$C$20:$C$299,'Model - Preopening &amp; Fees'!$B152)</f>
        <v>0</v>
      </c>
      <c r="S152" s="115">
        <f>SUMIFS('Invoices - Preopening'!$I$20:$I$299,'Invoices - Preopening'!$H$20:$H$299,"&gt;="&amp;S$6,'Invoices - Preopening'!$H$20:$H$299,"&lt;="&amp;S$7,'Invoices - Preopening'!$C$20:$C$299,'Model - Preopening &amp; Fees'!$B152)</f>
        <v>0</v>
      </c>
      <c r="T152" s="115">
        <f>SUMIFS('Invoices - Preopening'!$I$20:$I$299,'Invoices - Preopening'!$H$20:$H$299,"&gt;="&amp;T$6,'Invoices - Preopening'!$H$20:$H$299,"&lt;="&amp;T$7,'Invoices - Preopening'!$C$20:$C$299,'Model - Preopening &amp; Fees'!$B152)</f>
        <v>0</v>
      </c>
      <c r="U152" s="115">
        <f>SUMIFS('Invoices - Preopening'!$I$20:$I$299,'Invoices - Preopening'!$H$20:$H$299,"&gt;="&amp;U$6,'Invoices - Preopening'!$H$20:$H$299,"&lt;="&amp;U$7,'Invoices - Preopening'!$C$20:$C$299,'Model - Preopening &amp; Fees'!$B152)</f>
        <v>0</v>
      </c>
      <c r="V152" s="115">
        <f>SUMIFS('Invoices - Preopening'!$I$20:$I$299,'Invoices - Preopening'!$H$20:$H$299,"&gt;="&amp;V$6,'Invoices - Preopening'!$H$20:$H$299,"&lt;="&amp;V$7,'Invoices - Preopening'!$C$20:$C$299,'Model - Preopening &amp; Fees'!$B152)</f>
        <v>0</v>
      </c>
      <c r="W152" s="115">
        <f>SUMIFS('Invoices - Preopening'!$I$20:$I$299,'Invoices - Preopening'!$H$20:$H$299,"&gt;="&amp;W$6,'Invoices - Preopening'!$H$20:$H$299,"&lt;="&amp;W$7,'Invoices - Preopening'!$C$20:$C$299,'Model - Preopening &amp; Fees'!$B152)</f>
        <v>1800</v>
      </c>
      <c r="X152" s="115">
        <f>SUMIFS('Invoices - Preopening'!$I$20:$I$299,'Invoices - Preopening'!$H$20:$H$299,"&gt;="&amp;X$6,'Invoices - Preopening'!$H$20:$H$299,"&lt;="&amp;X$7,'Invoices - Preopening'!$C$20:$C$299,'Model - Preopening &amp; Fees'!$B152)</f>
        <v>0</v>
      </c>
      <c r="Y152" s="115">
        <f>SUMIFS('Invoices - Preopening'!$I$20:$I$299,'Invoices - Preopening'!$H$20:$H$299,"&gt;="&amp;Y$6,'Invoices - Preopening'!$H$20:$H$299,"&lt;="&amp;Y$7,'Invoices - Preopening'!$C$20:$C$299,'Model - Preopening &amp; Fees'!$B152)</f>
        <v>0</v>
      </c>
      <c r="Z152" s="115">
        <f>SUMIFS('Invoices - Preopening'!$I$20:$I$299,'Invoices - Preopening'!$H$20:$H$299,"&gt;="&amp;Z$6,'Invoices - Preopening'!$H$20:$H$299,"&lt;="&amp;Z$7,'Invoices - Preopening'!$C$20:$C$299,'Model - Preopening &amp; Fees'!$B152)</f>
        <v>0</v>
      </c>
      <c r="AA152" s="115">
        <f>SUMIFS('Invoices - Preopening'!$I$20:$I$299,'Invoices - Preopening'!$H$20:$H$299,"&gt;="&amp;AA$6,'Invoices - Preopening'!$H$20:$H$299,"&lt;="&amp;AA$7,'Invoices - Preopening'!$C$20:$C$299,'Model - Preopening &amp; Fees'!$B152)</f>
        <v>0</v>
      </c>
      <c r="AB152" s="115">
        <f>SUMIFS('Invoices - Preopening'!$I$20:$I$299,'Invoices - Preopening'!$H$20:$H$299,"&gt;="&amp;AB$6,'Invoices - Preopening'!$H$20:$H$299,"&lt;="&amp;AB$7,'Invoices - Preopening'!$C$20:$C$299,'Model - Preopening &amp; Fees'!$B152)</f>
        <v>0</v>
      </c>
      <c r="AC152" s="115">
        <f>SUMIFS('Invoices - Preopening'!$I$20:$I$299,'Invoices - Preopening'!$H$20:$H$299,"&gt;="&amp;AC$6,'Invoices - Preopening'!$H$20:$H$299,"&lt;="&amp;AC$7,'Invoices - Preopening'!$C$20:$C$299,'Model - Preopening &amp; Fees'!$B152)</f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T152" s="24">
        <f t="shared" si="193"/>
        <v>0</v>
      </c>
      <c r="AU152" s="24">
        <f t="shared" si="193"/>
        <v>0</v>
      </c>
      <c r="AV152" s="24">
        <f t="shared" si="193"/>
        <v>0</v>
      </c>
      <c r="AW152" s="24">
        <f t="shared" si="193"/>
        <v>-1800</v>
      </c>
      <c r="AX152" s="24">
        <f t="shared" si="193"/>
        <v>0</v>
      </c>
      <c r="AY152" s="1">
        <f t="shared" si="193"/>
        <v>0</v>
      </c>
      <c r="AZ152" s="1">
        <f t="shared" si="193"/>
        <v>0</v>
      </c>
      <c r="BA152" s="1">
        <f t="shared" si="193"/>
        <v>0</v>
      </c>
      <c r="BB152" s="1">
        <f t="shared" si="193"/>
        <v>0</v>
      </c>
      <c r="BC152" s="1">
        <f t="shared" si="193"/>
        <v>0</v>
      </c>
      <c r="BD152" s="1">
        <f t="shared" si="193"/>
        <v>0</v>
      </c>
      <c r="BF152" s="1">
        <f t="shared" si="194"/>
        <v>-1800</v>
      </c>
    </row>
    <row r="153" spans="2:58" x14ac:dyDescent="0.25">
      <c r="B153" s="65" t="s">
        <v>298</v>
      </c>
      <c r="C153" s="65"/>
      <c r="D153" s="2" t="s">
        <v>183</v>
      </c>
      <c r="E153" s="2"/>
      <c r="F153" s="9">
        <v>17164</v>
      </c>
      <c r="G153" s="59">
        <f>SUMIFS($L153:$AR153,$L$7:$AR$7,"&lt;="&amp;$J$4)</f>
        <v>0</v>
      </c>
      <c r="H153" s="59">
        <f t="shared" si="191"/>
        <v>17164</v>
      </c>
      <c r="J153" s="1">
        <f t="shared" si="192"/>
        <v>17164</v>
      </c>
      <c r="L153" s="115">
        <f>SUMIFS('Invoices - Preopening'!$I$20:$I$299,'Invoices - Preopening'!$H$20:$H$299,"&gt;="&amp;L$6,'Invoices - Preopening'!$H$20:$H$299,"&lt;="&amp;L$7,'Invoices - Preopening'!$C$20:$C$299,'Model - Preopening &amp; Fees'!$B153)</f>
        <v>0</v>
      </c>
      <c r="M153" s="115">
        <f>SUMIFS('Invoices - Preopening'!$I$20:$I$299,'Invoices - Preopening'!$H$20:$H$299,"&gt;="&amp;M$6,'Invoices - Preopening'!$H$20:$H$299,"&lt;="&amp;M$7,'Invoices - Preopening'!$C$20:$C$299,'Model - Preopening &amp; Fees'!$B153)</f>
        <v>0</v>
      </c>
      <c r="N153" s="115">
        <f>SUMIFS('Invoices - Preopening'!$I$20:$I$299,'Invoices - Preopening'!$H$20:$H$299,"&gt;="&amp;N$6,'Invoices - Preopening'!$H$20:$H$299,"&lt;="&amp;N$7,'Invoices - Preopening'!$C$20:$C$299,'Model - Preopening &amp; Fees'!$B153)</f>
        <v>0</v>
      </c>
      <c r="O153" s="115">
        <f>SUMIFS('Invoices - Preopening'!$I$20:$I$299,'Invoices - Preopening'!$H$20:$H$299,"&gt;="&amp;O$6,'Invoices - Preopening'!$H$20:$H$299,"&lt;="&amp;O$7,'Invoices - Preopening'!$C$20:$C$299,'Model - Preopening &amp; Fees'!$B153)</f>
        <v>0</v>
      </c>
      <c r="P153" s="115">
        <f>SUMIFS('Invoices - Preopening'!$I$20:$I$299,'Invoices - Preopening'!$H$20:$H$299,"&gt;="&amp;P$6,'Invoices - Preopening'!$H$20:$H$299,"&lt;="&amp;P$7,'Invoices - Preopening'!$C$20:$C$299,'Model - Preopening &amp; Fees'!$B153)</f>
        <v>0</v>
      </c>
      <c r="Q153" s="115">
        <f>SUMIFS('Invoices - Preopening'!$I$20:$I$299,'Invoices - Preopening'!$H$20:$H$299,"&gt;="&amp;Q$6,'Invoices - Preopening'!$H$20:$H$299,"&lt;="&amp;Q$7,'Invoices - Preopening'!$C$20:$C$299,'Model - Preopening &amp; Fees'!$B153)</f>
        <v>0</v>
      </c>
      <c r="R153" s="115">
        <f>SUMIFS('Invoices - Preopening'!$I$20:$I$299,'Invoices - Preopening'!$H$20:$H$299,"&gt;="&amp;R$6,'Invoices - Preopening'!$H$20:$H$299,"&lt;="&amp;R$7,'Invoices - Preopening'!$C$20:$C$299,'Model - Preopening &amp; Fees'!$B153)</f>
        <v>0</v>
      </c>
      <c r="S153" s="115">
        <f>SUMIFS('Invoices - Preopening'!$I$20:$I$299,'Invoices - Preopening'!$H$20:$H$299,"&gt;="&amp;S$6,'Invoices - Preopening'!$H$20:$H$299,"&lt;="&amp;S$7,'Invoices - Preopening'!$C$20:$C$299,'Model - Preopening &amp; Fees'!$B153)</f>
        <v>0</v>
      </c>
      <c r="T153" s="115">
        <f>SUMIFS('Invoices - Preopening'!$I$20:$I$299,'Invoices - Preopening'!$H$20:$H$299,"&gt;="&amp;T$6,'Invoices - Preopening'!$H$20:$H$299,"&lt;="&amp;T$7,'Invoices - Preopening'!$C$20:$C$299,'Model - Preopening &amp; Fees'!$B153)</f>
        <v>0</v>
      </c>
      <c r="U153" s="115">
        <f>SUMIFS('Invoices - Preopening'!$I$20:$I$299,'Invoices - Preopening'!$H$20:$H$299,"&gt;="&amp;U$6,'Invoices - Preopening'!$H$20:$H$299,"&lt;="&amp;U$7,'Invoices - Preopening'!$C$20:$C$299,'Model - Preopening &amp; Fees'!$B153)</f>
        <v>0</v>
      </c>
      <c r="V153" s="115">
        <f>SUMIFS('Invoices - Preopening'!$I$20:$I$299,'Invoices - Preopening'!$H$20:$H$299,"&gt;="&amp;V$6,'Invoices - Preopening'!$H$20:$H$299,"&lt;="&amp;V$7,'Invoices - Preopening'!$C$20:$C$299,'Model - Preopening &amp; Fees'!$B153)</f>
        <v>0</v>
      </c>
      <c r="W153" s="115">
        <f>SUMIFS('Invoices - Preopening'!$I$20:$I$299,'Invoices - Preopening'!$H$20:$H$299,"&gt;="&amp;W$6,'Invoices - Preopening'!$H$20:$H$299,"&lt;="&amp;W$7,'Invoices - Preopening'!$C$20:$C$299,'Model - Preopening &amp; Fees'!$B153)</f>
        <v>0</v>
      </c>
      <c r="X153" s="115">
        <f>SUMIFS('Invoices - Preopening'!$I$20:$I$299,'Invoices - Preopening'!$H$20:$H$299,"&gt;="&amp;X$6,'Invoices - Preopening'!$H$20:$H$299,"&lt;="&amp;X$7,'Invoices - Preopening'!$C$20:$C$299,'Model - Preopening &amp; Fees'!$B153)</f>
        <v>0</v>
      </c>
      <c r="Y153" s="115">
        <f>SUMIFS('Invoices - Preopening'!$I$20:$I$299,'Invoices - Preopening'!$H$20:$H$299,"&gt;="&amp;Y$6,'Invoices - Preopening'!$H$20:$H$299,"&lt;="&amp;Y$7,'Invoices - Preopening'!$C$20:$C$299,'Model - Preopening &amp; Fees'!$B153)</f>
        <v>0</v>
      </c>
      <c r="Z153" s="115">
        <f>SUMIFS('Invoices - Preopening'!$I$20:$I$299,'Invoices - Preopening'!$H$20:$H$299,"&gt;="&amp;Z$6,'Invoices - Preopening'!$H$20:$H$299,"&lt;="&amp;Z$7,'Invoices - Preopening'!$C$20:$C$299,'Model - Preopening &amp; Fees'!$B153)</f>
        <v>0</v>
      </c>
      <c r="AA153" s="115">
        <f>SUMIFS('Invoices - Preopening'!$I$20:$I$299,'Invoices - Preopening'!$H$20:$H$299,"&gt;="&amp;AA$6,'Invoices - Preopening'!$H$20:$H$299,"&lt;="&amp;AA$7,'Invoices - Preopening'!$C$20:$C$299,'Model - Preopening &amp; Fees'!$B153)</f>
        <v>0</v>
      </c>
      <c r="AB153" s="115">
        <f>SUMIFS('Invoices - Preopening'!$I$20:$I$299,'Invoices - Preopening'!$H$20:$H$299,"&gt;="&amp;AB$6,'Invoices - Preopening'!$H$20:$H$299,"&lt;="&amp;AB$7,'Invoices - Preopening'!$C$20:$C$299,'Model - Preopening &amp; Fees'!$B153)</f>
        <v>0</v>
      </c>
      <c r="AC153" s="115">
        <f>SUMIFS('Invoices - Preopening'!$I$20:$I$299,'Invoices - Preopening'!$H$20:$H$299,"&gt;="&amp;AC$6,'Invoices - Preopening'!$H$20:$H$299,"&lt;="&amp;AC$7,'Invoices - Preopening'!$C$20:$C$299,'Model - Preopening &amp; Fees'!$B153)</f>
        <v>0</v>
      </c>
      <c r="AD153" s="115">
        <f>SUMIFS('Invoices - Preopening'!$I$20:$I$299,'Invoices - Preopening'!$H$20:$H$299,"&gt;="&amp;AD$6,'Invoices - Preopening'!$H$20:$H$299,"&lt;="&amp;AD$7,'Invoices - Preopening'!$C$20:$C$299,'Model - Preopening &amp; Fees'!$B153)</f>
        <v>17164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0</v>
      </c>
      <c r="AR153" s="9">
        <v>0</v>
      </c>
      <c r="AT153" s="24">
        <f t="shared" si="193"/>
        <v>0</v>
      </c>
      <c r="AU153" s="24">
        <f t="shared" si="193"/>
        <v>0</v>
      </c>
      <c r="AV153" s="24">
        <f t="shared" si="193"/>
        <v>0</v>
      </c>
      <c r="AW153" s="24">
        <f t="shared" si="193"/>
        <v>0</v>
      </c>
      <c r="AX153" s="24">
        <f t="shared" si="193"/>
        <v>0</v>
      </c>
      <c r="AY153" s="1">
        <f t="shared" si="193"/>
        <v>0</v>
      </c>
      <c r="AZ153" s="1">
        <f t="shared" si="193"/>
        <v>-17164</v>
      </c>
      <c r="BA153" s="1">
        <f t="shared" si="193"/>
        <v>0</v>
      </c>
      <c r="BB153" s="1">
        <f t="shared" si="193"/>
        <v>0</v>
      </c>
      <c r="BC153" s="1">
        <f t="shared" si="193"/>
        <v>0</v>
      </c>
      <c r="BD153" s="1">
        <f t="shared" si="193"/>
        <v>0</v>
      </c>
      <c r="BF153" s="1">
        <f t="shared" si="194"/>
        <v>-17164</v>
      </c>
    </row>
    <row r="154" spans="2:58" x14ac:dyDescent="0.25">
      <c r="B154" s="65" t="s">
        <v>300</v>
      </c>
      <c r="C154" s="65"/>
      <c r="D154" s="2" t="s">
        <v>183</v>
      </c>
      <c r="E154" s="2"/>
      <c r="F154" s="9">
        <v>2500</v>
      </c>
      <c r="G154" s="59">
        <f>SUMIFS($L154:$AR154,$L$7:$AR$7,"&lt;="&amp;$J$4)</f>
        <v>0</v>
      </c>
      <c r="H154" s="59">
        <f t="shared" si="191"/>
        <v>2500</v>
      </c>
      <c r="J154" s="1">
        <f t="shared" si="192"/>
        <v>2500</v>
      </c>
      <c r="L154" s="115">
        <f>SUMIFS('Invoices - Preopening'!$I$20:$I$299,'Invoices - Preopening'!$H$20:$H$299,"&gt;="&amp;L$6,'Invoices - Preopening'!$H$20:$H$299,"&lt;="&amp;L$7,'Invoices - Preopening'!$C$20:$C$299,'Model - Preopening &amp; Fees'!$B154)</f>
        <v>0</v>
      </c>
      <c r="M154" s="115">
        <f>SUMIFS('Invoices - Preopening'!$I$20:$I$299,'Invoices - Preopening'!$H$20:$H$299,"&gt;="&amp;M$6,'Invoices - Preopening'!$H$20:$H$299,"&lt;="&amp;M$7,'Invoices - Preopening'!$C$20:$C$299,'Model - Preopening &amp; Fees'!$B154)</f>
        <v>0</v>
      </c>
      <c r="N154" s="115">
        <f>SUMIFS('Invoices - Preopening'!$I$20:$I$299,'Invoices - Preopening'!$H$20:$H$299,"&gt;="&amp;N$6,'Invoices - Preopening'!$H$20:$H$299,"&lt;="&amp;N$7,'Invoices - Preopening'!$C$20:$C$299,'Model - Preopening &amp; Fees'!$B154)</f>
        <v>0</v>
      </c>
      <c r="O154" s="115">
        <f>SUMIFS('Invoices - Preopening'!$I$20:$I$299,'Invoices - Preopening'!$H$20:$H$299,"&gt;="&amp;O$6,'Invoices - Preopening'!$H$20:$H$299,"&lt;="&amp;O$7,'Invoices - Preopening'!$C$20:$C$299,'Model - Preopening &amp; Fees'!$B154)</f>
        <v>0</v>
      </c>
      <c r="P154" s="115">
        <f>SUMIFS('Invoices - Preopening'!$I$20:$I$299,'Invoices - Preopening'!$H$20:$H$299,"&gt;="&amp;P$6,'Invoices - Preopening'!$H$20:$H$299,"&lt;="&amp;P$7,'Invoices - Preopening'!$C$20:$C$299,'Model - Preopening &amp; Fees'!$B154)</f>
        <v>0</v>
      </c>
      <c r="Q154" s="115">
        <f>SUMIFS('Invoices - Preopening'!$I$20:$I$299,'Invoices - Preopening'!$H$20:$H$299,"&gt;="&amp;Q$6,'Invoices - Preopening'!$H$20:$H$299,"&lt;="&amp;Q$7,'Invoices - Preopening'!$C$20:$C$299,'Model - Preopening &amp; Fees'!$B154)</f>
        <v>0</v>
      </c>
      <c r="R154" s="115">
        <f>SUMIFS('Invoices - Preopening'!$I$20:$I$299,'Invoices - Preopening'!$H$20:$H$299,"&gt;="&amp;R$6,'Invoices - Preopening'!$H$20:$H$299,"&lt;="&amp;R$7,'Invoices - Preopening'!$C$20:$C$299,'Model - Preopening &amp; Fees'!$B154)</f>
        <v>0</v>
      </c>
      <c r="S154" s="115">
        <f>SUMIFS('Invoices - Preopening'!$I$20:$I$299,'Invoices - Preopening'!$H$20:$H$299,"&gt;="&amp;S$6,'Invoices - Preopening'!$H$20:$H$299,"&lt;="&amp;S$7,'Invoices - Preopening'!$C$20:$C$299,'Model - Preopening &amp; Fees'!$B154)</f>
        <v>0</v>
      </c>
      <c r="T154" s="115">
        <f>SUMIFS('Invoices - Preopening'!$I$20:$I$299,'Invoices - Preopening'!$H$20:$H$299,"&gt;="&amp;T$6,'Invoices - Preopening'!$H$20:$H$299,"&lt;="&amp;T$7,'Invoices - Preopening'!$C$20:$C$299,'Model - Preopening &amp; Fees'!$B154)</f>
        <v>0</v>
      </c>
      <c r="U154" s="115">
        <f>SUMIFS('Invoices - Preopening'!$I$20:$I$299,'Invoices - Preopening'!$H$20:$H$299,"&gt;="&amp;U$6,'Invoices - Preopening'!$H$20:$H$299,"&lt;="&amp;U$7,'Invoices - Preopening'!$C$20:$C$299,'Model - Preopening &amp; Fees'!$B154)</f>
        <v>0</v>
      </c>
      <c r="V154" s="115">
        <f>SUMIFS('Invoices - Preopening'!$I$20:$I$299,'Invoices - Preopening'!$H$20:$H$299,"&gt;="&amp;V$6,'Invoices - Preopening'!$H$20:$H$299,"&lt;="&amp;V$7,'Invoices - Preopening'!$C$20:$C$299,'Model - Preopening &amp; Fees'!$B154)</f>
        <v>0</v>
      </c>
      <c r="W154" s="115">
        <f>SUMIFS('Invoices - Preopening'!$I$20:$I$299,'Invoices - Preopening'!$H$20:$H$299,"&gt;="&amp;W$6,'Invoices - Preopening'!$H$20:$H$299,"&lt;="&amp;W$7,'Invoices - Preopening'!$C$20:$C$299,'Model - Preopening &amp; Fees'!$B154)</f>
        <v>0</v>
      </c>
      <c r="X154" s="115">
        <f>SUMIFS('Invoices - Preopening'!$I$20:$I$299,'Invoices - Preopening'!$H$20:$H$299,"&gt;="&amp;X$6,'Invoices - Preopening'!$H$20:$H$299,"&lt;="&amp;X$7,'Invoices - Preopening'!$C$20:$C$299,'Model - Preopening &amp; Fees'!$B154)</f>
        <v>0</v>
      </c>
      <c r="Y154" s="115">
        <f>SUMIFS('Invoices - Preopening'!$I$20:$I$299,'Invoices - Preopening'!$H$20:$H$299,"&gt;="&amp;Y$6,'Invoices - Preopening'!$H$20:$H$299,"&lt;="&amp;Y$7,'Invoices - Preopening'!$C$20:$C$299,'Model - Preopening &amp; Fees'!$B154)</f>
        <v>0</v>
      </c>
      <c r="Z154" s="115">
        <f>SUMIFS('Invoices - Preopening'!$I$20:$I$299,'Invoices - Preopening'!$H$20:$H$299,"&gt;="&amp;Z$6,'Invoices - Preopening'!$H$20:$H$299,"&lt;="&amp;Z$7,'Invoices - Preopening'!$C$20:$C$299,'Model - Preopening &amp; Fees'!$B154)</f>
        <v>0</v>
      </c>
      <c r="AA154" s="115">
        <f>SUMIFS('Invoices - Preopening'!$I$20:$I$299,'Invoices - Preopening'!$H$20:$H$299,"&gt;="&amp;AA$6,'Invoices - Preopening'!$H$20:$H$299,"&lt;="&amp;AA$7,'Invoices - Preopening'!$C$20:$C$299,'Model - Preopening &amp; Fees'!$B154)</f>
        <v>0</v>
      </c>
      <c r="AB154" s="115">
        <f>SUMIFS('Invoices - Preopening'!$I$20:$I$299,'Invoices - Preopening'!$H$20:$H$299,"&gt;="&amp;AB$6,'Invoices - Preopening'!$H$20:$H$299,"&lt;="&amp;AB$7,'Invoices - Preopening'!$C$20:$C$299,'Model - Preopening &amp; Fees'!$B154)</f>
        <v>0</v>
      </c>
      <c r="AC154" s="115">
        <f>SUMIFS('Invoices - Preopening'!$I$20:$I$299,'Invoices - Preopening'!$H$20:$H$299,"&gt;="&amp;AC$6,'Invoices - Preopening'!$H$20:$H$299,"&lt;="&amp;AC$7,'Invoices - Preopening'!$C$20:$C$299,'Model - Preopening &amp; Fees'!$B154)</f>
        <v>0</v>
      </c>
      <c r="AD154" s="115">
        <f>SUMIFS('Invoices - Preopening'!$I$20:$I$299,'Invoices - Preopening'!$H$20:$H$299,"&gt;="&amp;AD$6,'Invoices - Preopening'!$H$20:$H$299,"&lt;="&amp;AD$7,'Invoices - Preopening'!$C$20:$C$299,'Model - Preopening &amp; Fees'!$B154)</f>
        <v>2500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T154" s="24">
        <f t="shared" si="193"/>
        <v>0</v>
      </c>
      <c r="AU154" s="24">
        <f t="shared" si="193"/>
        <v>0</v>
      </c>
      <c r="AV154" s="24">
        <f t="shared" si="193"/>
        <v>0</v>
      </c>
      <c r="AW154" s="24">
        <f t="shared" si="193"/>
        <v>0</v>
      </c>
      <c r="AX154" s="24">
        <f t="shared" si="193"/>
        <v>0</v>
      </c>
      <c r="AY154" s="1">
        <f t="shared" si="193"/>
        <v>0</v>
      </c>
      <c r="AZ154" s="1">
        <f t="shared" si="193"/>
        <v>-2500</v>
      </c>
      <c r="BA154" s="1">
        <f t="shared" si="193"/>
        <v>0</v>
      </c>
      <c r="BB154" s="1">
        <f t="shared" si="193"/>
        <v>0</v>
      </c>
      <c r="BC154" s="1">
        <f t="shared" si="193"/>
        <v>0</v>
      </c>
      <c r="BD154" s="1">
        <f t="shared" si="193"/>
        <v>0</v>
      </c>
      <c r="BF154" s="1">
        <f t="shared" si="194"/>
        <v>-2500</v>
      </c>
    </row>
    <row r="155" spans="2:58" x14ac:dyDescent="0.25">
      <c r="B155" s="66" t="s">
        <v>185</v>
      </c>
      <c r="C155" s="66"/>
      <c r="D155" s="54" t="s">
        <v>183</v>
      </c>
      <c r="E155" s="54"/>
      <c r="F155" s="55">
        <v>0</v>
      </c>
      <c r="G155" s="60">
        <f>SUMIFS($L155:$AR155,$L$7:$AR$7,"&lt;="&amp;$J$4)</f>
        <v>0</v>
      </c>
      <c r="H155" s="60">
        <f t="shared" si="191"/>
        <v>0</v>
      </c>
      <c r="J155" s="18">
        <f t="shared" si="192"/>
        <v>0</v>
      </c>
      <c r="L155" s="116">
        <f>SUMIFS('Invoices - Preopening'!$I$20:$I$299,'Invoices - Preopening'!$H$20:$H$299,"&gt;="&amp;L$6,'Invoices - Preopening'!$H$20:$H$299,"&lt;="&amp;L$7,'Invoices - Preopening'!$C$20:$C$299,'Model - Preopening &amp; Fees'!$B155)</f>
        <v>0</v>
      </c>
      <c r="M155" s="116">
        <f>SUMIFS('Invoices - Preopening'!$I$20:$I$299,'Invoices - Preopening'!$H$20:$H$299,"&gt;="&amp;M$6,'Invoices - Preopening'!$H$20:$H$299,"&lt;="&amp;M$7,'Invoices - Preopening'!$C$20:$C$299,'Model - Preopening &amp; Fees'!$B155)</f>
        <v>0</v>
      </c>
      <c r="N155" s="116">
        <f>SUMIFS('Invoices - Preopening'!$I$20:$I$299,'Invoices - Preopening'!$H$20:$H$299,"&gt;="&amp;N$6,'Invoices - Preopening'!$H$20:$H$299,"&lt;="&amp;N$7,'Invoices - Preopening'!$C$20:$C$299,'Model - Preopening &amp; Fees'!$B155)</f>
        <v>0</v>
      </c>
      <c r="O155" s="116">
        <f>SUMIFS('Invoices - Preopening'!$I$20:$I$299,'Invoices - Preopening'!$H$20:$H$299,"&gt;="&amp;O$6,'Invoices - Preopening'!$H$20:$H$299,"&lt;="&amp;O$7,'Invoices - Preopening'!$C$20:$C$299,'Model - Preopening &amp; Fees'!$B155)</f>
        <v>0</v>
      </c>
      <c r="P155" s="116">
        <f>SUMIFS('Invoices - Preopening'!$I$20:$I$299,'Invoices - Preopening'!$H$20:$H$299,"&gt;="&amp;P$6,'Invoices - Preopening'!$H$20:$H$299,"&lt;="&amp;P$7,'Invoices - Preopening'!$C$20:$C$299,'Model - Preopening &amp; Fees'!$B155)</f>
        <v>0</v>
      </c>
      <c r="Q155" s="116">
        <f>SUMIFS('Invoices - Preopening'!$I$20:$I$299,'Invoices - Preopening'!$H$20:$H$299,"&gt;="&amp;Q$6,'Invoices - Preopening'!$H$20:$H$299,"&lt;="&amp;Q$7,'Invoices - Preopening'!$C$20:$C$299,'Model - Preopening &amp; Fees'!$B155)</f>
        <v>0</v>
      </c>
      <c r="R155" s="116">
        <f>SUMIFS('Invoices - Preopening'!$I$20:$I$299,'Invoices - Preopening'!$H$20:$H$299,"&gt;="&amp;R$6,'Invoices - Preopening'!$H$20:$H$299,"&lt;="&amp;R$7,'Invoices - Preopening'!$C$20:$C$299,'Model - Preopening &amp; Fees'!$B155)</f>
        <v>0</v>
      </c>
      <c r="S155" s="116">
        <f>SUMIFS('Invoices - Preopening'!$I$20:$I$299,'Invoices - Preopening'!$H$20:$H$299,"&gt;="&amp;S$6,'Invoices - Preopening'!$H$20:$H$299,"&lt;="&amp;S$7,'Invoices - Preopening'!$C$20:$C$299,'Model - Preopening &amp; Fees'!$B155)</f>
        <v>0</v>
      </c>
      <c r="T155" s="116">
        <f>SUMIFS('Invoices - Preopening'!$I$20:$I$299,'Invoices - Preopening'!$H$20:$H$299,"&gt;="&amp;T$6,'Invoices - Preopening'!$H$20:$H$299,"&lt;="&amp;T$7,'Invoices - Preopening'!$C$20:$C$299,'Model - Preopening &amp; Fees'!$B155)</f>
        <v>0</v>
      </c>
      <c r="U155" s="116">
        <f>SUMIFS('Invoices - Preopening'!$I$20:$I$299,'Invoices - Preopening'!$H$20:$H$299,"&gt;="&amp;U$6,'Invoices - Preopening'!$H$20:$H$299,"&lt;="&amp;U$7,'Invoices - Preopening'!$C$20:$C$299,'Model - Preopening &amp; Fees'!$B155)</f>
        <v>0</v>
      </c>
      <c r="V155" s="116">
        <f>SUMIFS('Invoices - Preopening'!$I$20:$I$299,'Invoices - Preopening'!$H$20:$H$299,"&gt;="&amp;V$6,'Invoices - Preopening'!$H$20:$H$299,"&lt;="&amp;V$7,'Invoices - Preopening'!$C$20:$C$299,'Model - Preopening &amp; Fees'!$B155)</f>
        <v>0</v>
      </c>
      <c r="W155" s="116">
        <f>SUMIFS('Invoices - Preopening'!$I$20:$I$299,'Invoices - Preopening'!$H$20:$H$299,"&gt;="&amp;W$6,'Invoices - Preopening'!$H$20:$H$299,"&lt;="&amp;W$7,'Invoices - Preopening'!$C$20:$C$299,'Model - Preopening &amp; Fees'!$B155)</f>
        <v>0</v>
      </c>
      <c r="X155" s="116">
        <f>SUMIFS('Invoices - Preopening'!$I$20:$I$299,'Invoices - Preopening'!$H$20:$H$299,"&gt;="&amp;X$6,'Invoices - Preopening'!$H$20:$H$299,"&lt;="&amp;X$7,'Invoices - Preopening'!$C$20:$C$299,'Model - Preopening &amp; Fees'!$B155)</f>
        <v>0</v>
      </c>
      <c r="Y155" s="116">
        <f>SUMIFS('Invoices - Preopening'!$I$20:$I$299,'Invoices - Preopening'!$H$20:$H$299,"&gt;="&amp;Y$6,'Invoices - Preopening'!$H$20:$H$299,"&lt;="&amp;Y$7,'Invoices - Preopening'!$C$20:$C$299,'Model - Preopening &amp; Fees'!$B155)</f>
        <v>0</v>
      </c>
      <c r="Z155" s="116">
        <f>SUMIFS('Invoices - Preopening'!$I$20:$I$299,'Invoices - Preopening'!$H$20:$H$299,"&gt;="&amp;Z$6,'Invoices - Preopening'!$H$20:$H$299,"&lt;="&amp;Z$7,'Invoices - Preopening'!$C$20:$C$299,'Model - Preopening &amp; Fees'!$B155)</f>
        <v>0</v>
      </c>
      <c r="AA155" s="116">
        <f>SUMIFS('Invoices - Preopening'!$I$20:$I$299,'Invoices - Preopening'!$H$20:$H$299,"&gt;="&amp;AA$6,'Invoices - Preopening'!$H$20:$H$299,"&lt;="&amp;AA$7,'Invoices - Preopening'!$C$20:$C$299,'Model - Preopening &amp; Fees'!$B155)</f>
        <v>0</v>
      </c>
      <c r="AB155" s="116">
        <f>SUMIFS('Invoices - Preopening'!$I$20:$I$299,'Invoices - Preopening'!$H$20:$H$299,"&gt;="&amp;AB$6,'Invoices - Preopening'!$H$20:$H$299,"&lt;="&amp;AB$7,'Invoices - Preopening'!$C$20:$C$299,'Model - Preopening &amp; Fees'!$B155)</f>
        <v>0</v>
      </c>
      <c r="AC155" s="116">
        <f>SUMIFS('Invoices - Preopening'!$I$20:$I$299,'Invoices - Preopening'!$H$20:$H$299,"&gt;="&amp;AC$6,'Invoices - Preopening'!$H$20:$H$299,"&lt;="&amp;AC$7,'Invoices - Preopening'!$C$20:$C$299,'Model - Preopening &amp; Fees'!$B155)</f>
        <v>0</v>
      </c>
      <c r="AD155" s="55">
        <v>0</v>
      </c>
      <c r="AE155" s="55">
        <v>0</v>
      </c>
      <c r="AF155" s="55">
        <v>0</v>
      </c>
      <c r="AG155" s="55">
        <v>0</v>
      </c>
      <c r="AH155" s="55">
        <v>0</v>
      </c>
      <c r="AI155" s="55">
        <v>0</v>
      </c>
      <c r="AJ155" s="55">
        <v>0</v>
      </c>
      <c r="AK155" s="55">
        <v>0</v>
      </c>
      <c r="AL155" s="55">
        <v>0</v>
      </c>
      <c r="AM155" s="55">
        <v>0</v>
      </c>
      <c r="AN155" s="55">
        <v>0</v>
      </c>
      <c r="AO155" s="55">
        <v>0</v>
      </c>
      <c r="AP155" s="55">
        <v>0</v>
      </c>
      <c r="AQ155" s="55">
        <v>0</v>
      </c>
      <c r="AR155" s="55">
        <v>0</v>
      </c>
      <c r="AT155" s="25">
        <f t="shared" si="193"/>
        <v>0</v>
      </c>
      <c r="AU155" s="25">
        <f t="shared" si="193"/>
        <v>0</v>
      </c>
      <c r="AV155" s="25">
        <f t="shared" si="193"/>
        <v>0</v>
      </c>
      <c r="AW155" s="25">
        <f t="shared" si="193"/>
        <v>0</v>
      </c>
      <c r="AX155" s="25">
        <f t="shared" si="193"/>
        <v>0</v>
      </c>
      <c r="AY155" s="18">
        <f t="shared" si="193"/>
        <v>0</v>
      </c>
      <c r="AZ155" s="18">
        <f t="shared" si="193"/>
        <v>0</v>
      </c>
      <c r="BA155" s="18">
        <f t="shared" si="193"/>
        <v>0</v>
      </c>
      <c r="BB155" s="18">
        <f t="shared" si="193"/>
        <v>0</v>
      </c>
      <c r="BC155" s="18">
        <f t="shared" si="193"/>
        <v>0</v>
      </c>
      <c r="BD155" s="18">
        <f t="shared" si="193"/>
        <v>0</v>
      </c>
      <c r="BF155" s="18">
        <f t="shared" si="194"/>
        <v>0</v>
      </c>
    </row>
    <row r="156" spans="2:58" s="20" customFormat="1" x14ac:dyDescent="0.25">
      <c r="B156" s="67" t="s">
        <v>186</v>
      </c>
      <c r="C156" s="67"/>
      <c r="D156" s="100"/>
      <c r="E156" s="100"/>
      <c r="F156" s="15">
        <f>SUM(F151:F155)</f>
        <v>21464</v>
      </c>
      <c r="G156" s="15">
        <f>SUM(G151:G155)</f>
        <v>71960.98</v>
      </c>
      <c r="H156" s="15">
        <f>SUM(H151:H155)</f>
        <v>19664</v>
      </c>
      <c r="J156" s="15">
        <f t="shared" si="192"/>
        <v>91624.98</v>
      </c>
      <c r="L156" s="15">
        <f>SUM(L151:L155)</f>
        <v>0</v>
      </c>
      <c r="M156" s="15">
        <f t="shared" ref="M156:AR156" si="195">SUM(M151:M155)</f>
        <v>0</v>
      </c>
      <c r="N156" s="15">
        <f t="shared" si="195"/>
        <v>0</v>
      </c>
      <c r="O156" s="15">
        <f t="shared" si="195"/>
        <v>0</v>
      </c>
      <c r="P156" s="15">
        <f t="shared" si="195"/>
        <v>0</v>
      </c>
      <c r="Q156" s="15">
        <f t="shared" si="195"/>
        <v>0</v>
      </c>
      <c r="R156" s="15">
        <f t="shared" si="195"/>
        <v>0</v>
      </c>
      <c r="S156" s="15">
        <f t="shared" si="195"/>
        <v>0</v>
      </c>
      <c r="T156" s="15">
        <f t="shared" si="195"/>
        <v>0</v>
      </c>
      <c r="U156" s="15">
        <f t="shared" si="195"/>
        <v>0</v>
      </c>
      <c r="V156" s="15">
        <f t="shared" si="195"/>
        <v>0</v>
      </c>
      <c r="W156" s="15">
        <f t="shared" si="195"/>
        <v>1800</v>
      </c>
      <c r="X156" s="15">
        <f t="shared" si="195"/>
        <v>0</v>
      </c>
      <c r="Y156" s="15">
        <f t="shared" si="195"/>
        <v>0</v>
      </c>
      <c r="Z156" s="15">
        <f t="shared" si="195"/>
        <v>70160.98</v>
      </c>
      <c r="AA156" s="15">
        <f t="shared" si="195"/>
        <v>0</v>
      </c>
      <c r="AB156" s="15">
        <f t="shared" si="195"/>
        <v>0</v>
      </c>
      <c r="AC156" s="15">
        <f t="shared" si="195"/>
        <v>0</v>
      </c>
      <c r="AD156" s="15">
        <f t="shared" si="195"/>
        <v>19664</v>
      </c>
      <c r="AE156" s="15">
        <f t="shared" si="195"/>
        <v>0</v>
      </c>
      <c r="AF156" s="15">
        <f t="shared" si="195"/>
        <v>0</v>
      </c>
      <c r="AG156" s="15">
        <f t="shared" si="195"/>
        <v>0</v>
      </c>
      <c r="AH156" s="15">
        <f t="shared" si="195"/>
        <v>0</v>
      </c>
      <c r="AI156" s="15">
        <f t="shared" si="195"/>
        <v>0</v>
      </c>
      <c r="AJ156" s="15">
        <f t="shared" si="195"/>
        <v>0</v>
      </c>
      <c r="AK156" s="15">
        <f t="shared" si="195"/>
        <v>0</v>
      </c>
      <c r="AL156" s="15">
        <f t="shared" si="195"/>
        <v>0</v>
      </c>
      <c r="AM156" s="15">
        <f t="shared" si="195"/>
        <v>0</v>
      </c>
      <c r="AN156" s="15">
        <f t="shared" si="195"/>
        <v>0</v>
      </c>
      <c r="AO156" s="15">
        <f t="shared" si="195"/>
        <v>0</v>
      </c>
      <c r="AP156" s="15">
        <f t="shared" si="195"/>
        <v>0</v>
      </c>
      <c r="AQ156" s="15">
        <f t="shared" si="195"/>
        <v>0</v>
      </c>
      <c r="AR156" s="15">
        <f t="shared" si="195"/>
        <v>0</v>
      </c>
      <c r="AT156" s="15">
        <f t="shared" ref="AT156" si="196">SUM(AT151:AT155)</f>
        <v>0</v>
      </c>
      <c r="AU156" s="15">
        <f t="shared" ref="AU156" si="197">SUM(AU151:AU155)</f>
        <v>0</v>
      </c>
      <c r="AV156" s="15">
        <f t="shared" ref="AV156" si="198">SUM(AV151:AV155)</f>
        <v>0</v>
      </c>
      <c r="AW156" s="15">
        <f t="shared" ref="AW156" si="199">SUM(AW151:AW155)</f>
        <v>-1800</v>
      </c>
      <c r="AX156" s="15">
        <f t="shared" ref="AX156" si="200">SUM(AX151:AX155)</f>
        <v>-70160.98</v>
      </c>
      <c r="AY156" s="15">
        <f t="shared" ref="AY156" si="201">SUM(AY151:AY155)</f>
        <v>0</v>
      </c>
      <c r="AZ156" s="15">
        <f t="shared" ref="AZ156" si="202">SUM(AZ151:AZ155)</f>
        <v>-19664</v>
      </c>
      <c r="BA156" s="15">
        <f t="shared" ref="BA156" si="203">SUM(BA151:BA155)</f>
        <v>0</v>
      </c>
      <c r="BB156" s="15">
        <f t="shared" ref="BB156" si="204">SUM(BB151:BB155)</f>
        <v>0</v>
      </c>
      <c r="BC156" s="15">
        <f t="shared" ref="BC156" si="205">SUM(BC151:BC155)</f>
        <v>0</v>
      </c>
      <c r="BD156" s="15">
        <f t="shared" ref="BD156" si="206">SUM(BD151:BD155)</f>
        <v>0</v>
      </c>
      <c r="BF156" s="15">
        <f t="shared" si="194"/>
        <v>-91624.98</v>
      </c>
    </row>
    <row r="158" spans="2:58" x14ac:dyDescent="0.25">
      <c r="B158" s="4" t="s">
        <v>280</v>
      </c>
      <c r="C158" s="4"/>
      <c r="D158" s="53"/>
      <c r="E158" s="53"/>
      <c r="F158" s="53"/>
      <c r="G158" s="53"/>
      <c r="H158" s="53"/>
      <c r="J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  <c r="AE158" s="140"/>
      <c r="AF158" s="140"/>
      <c r="AG158" s="140"/>
      <c r="AH158" s="140"/>
      <c r="AI158" s="140"/>
      <c r="AJ158" s="140"/>
      <c r="AK158" s="140"/>
      <c r="AL158" s="140"/>
      <c r="AM158" s="140"/>
      <c r="AN158" s="140"/>
      <c r="AO158" s="140"/>
      <c r="AP158" s="140"/>
      <c r="AQ158" s="140"/>
      <c r="AR158" s="140"/>
      <c r="AT158" s="140"/>
      <c r="AU158" s="140"/>
      <c r="AV158" s="140"/>
      <c r="AW158" s="140"/>
      <c r="AX158" s="140"/>
      <c r="AY158" s="140"/>
      <c r="AZ158" s="140"/>
      <c r="BA158" s="140"/>
      <c r="BB158" s="140"/>
      <c r="BC158" s="140"/>
      <c r="BD158" s="140"/>
      <c r="BF158" s="140"/>
    </row>
    <row r="159" spans="2:58" x14ac:dyDescent="0.25">
      <c r="B159" s="68" t="s">
        <v>279</v>
      </c>
      <c r="D159" s="2" t="s">
        <v>279</v>
      </c>
      <c r="F159" s="1">
        <f>F139</f>
        <v>1269145</v>
      </c>
      <c r="G159" s="1">
        <f t="shared" ref="G159" si="207">G139</f>
        <v>307666.21999999997</v>
      </c>
      <c r="H159" s="1">
        <f t="shared" ref="H159:H161" si="208">J159-G159</f>
        <v>963480.0166666666</v>
      </c>
      <c r="J159" s="1">
        <f>SUM(L159:AR159)</f>
        <v>1271146.2366666666</v>
      </c>
      <c r="L159" s="24">
        <f>L139</f>
        <v>0</v>
      </c>
      <c r="M159" s="24">
        <f t="shared" ref="M159:AR159" si="209">M139</f>
        <v>0</v>
      </c>
      <c r="N159" s="24">
        <f t="shared" si="209"/>
        <v>0</v>
      </c>
      <c r="O159" s="24">
        <f t="shared" si="209"/>
        <v>0</v>
      </c>
      <c r="P159" s="24">
        <f t="shared" si="209"/>
        <v>0</v>
      </c>
      <c r="Q159" s="24">
        <f t="shared" si="209"/>
        <v>0</v>
      </c>
      <c r="R159" s="24">
        <f t="shared" si="209"/>
        <v>0</v>
      </c>
      <c r="S159" s="24">
        <f t="shared" si="209"/>
        <v>0</v>
      </c>
      <c r="T159" s="24">
        <f t="shared" si="209"/>
        <v>0</v>
      </c>
      <c r="U159" s="24">
        <f t="shared" si="209"/>
        <v>0</v>
      </c>
      <c r="V159" s="24">
        <f t="shared" si="209"/>
        <v>0</v>
      </c>
      <c r="W159" s="24">
        <f t="shared" si="209"/>
        <v>44864</v>
      </c>
      <c r="X159" s="24">
        <f t="shared" si="209"/>
        <v>0</v>
      </c>
      <c r="Y159" s="24">
        <f t="shared" si="209"/>
        <v>0</v>
      </c>
      <c r="Z159" s="24">
        <f t="shared" si="209"/>
        <v>231983.29</v>
      </c>
      <c r="AA159" s="24">
        <f t="shared" si="209"/>
        <v>4245.666666666667</v>
      </c>
      <c r="AB159" s="24">
        <f t="shared" si="209"/>
        <v>13870.496666666668</v>
      </c>
      <c r="AC159" s="24">
        <f t="shared" si="209"/>
        <v>12702.766666666666</v>
      </c>
      <c r="AD159" s="1">
        <f t="shared" si="209"/>
        <v>252049.01666666666</v>
      </c>
      <c r="AE159" s="1">
        <f t="shared" si="209"/>
        <v>39281.666666666672</v>
      </c>
      <c r="AF159" s="1">
        <f t="shared" si="209"/>
        <v>49855.666666666672</v>
      </c>
      <c r="AG159" s="1">
        <f t="shared" si="209"/>
        <v>69930.333333333343</v>
      </c>
      <c r="AH159" s="1">
        <f t="shared" si="209"/>
        <v>102227.33333333334</v>
      </c>
      <c r="AI159" s="1">
        <f t="shared" si="209"/>
        <v>105806.33333333334</v>
      </c>
      <c r="AJ159" s="1">
        <f t="shared" si="209"/>
        <v>147957.33333333334</v>
      </c>
      <c r="AK159" s="1">
        <f t="shared" si="209"/>
        <v>160472.33333333334</v>
      </c>
      <c r="AL159" s="1">
        <f t="shared" si="209"/>
        <v>9650</v>
      </c>
      <c r="AM159" s="1">
        <f t="shared" si="209"/>
        <v>26250</v>
      </c>
      <c r="AN159" s="1">
        <f t="shared" si="209"/>
        <v>0</v>
      </c>
      <c r="AO159" s="1">
        <f t="shared" si="209"/>
        <v>0</v>
      </c>
      <c r="AP159" s="1">
        <f t="shared" si="209"/>
        <v>0</v>
      </c>
      <c r="AQ159" s="1">
        <f t="shared" si="209"/>
        <v>0</v>
      </c>
      <c r="AR159" s="1">
        <f t="shared" si="209"/>
        <v>0</v>
      </c>
    </row>
    <row r="160" spans="2:58" x14ac:dyDescent="0.25">
      <c r="B160" s="21" t="s">
        <v>178</v>
      </c>
      <c r="C160" s="21"/>
      <c r="D160" s="2" t="str">
        <f>B160</f>
        <v>UHG Fees</v>
      </c>
      <c r="E160" s="2"/>
      <c r="F160" s="1">
        <f>F146</f>
        <v>420000</v>
      </c>
      <c r="G160" s="59">
        <f>SUMIFS($L160:$AR160,$L$7:$AR$7,"&lt;="&amp;$J$4)</f>
        <v>266156.25</v>
      </c>
      <c r="H160" s="59">
        <f t="shared" si="208"/>
        <v>153843.75</v>
      </c>
      <c r="J160" s="1">
        <f>SUM(L160:AR160)</f>
        <v>420000</v>
      </c>
      <c r="L160" s="24">
        <f>L146</f>
        <v>97000</v>
      </c>
      <c r="M160" s="24">
        <f t="shared" ref="M160:AR160" si="210">M146</f>
        <v>0</v>
      </c>
      <c r="N160" s="24">
        <f t="shared" si="210"/>
        <v>0</v>
      </c>
      <c r="O160" s="24">
        <f t="shared" si="210"/>
        <v>97000</v>
      </c>
      <c r="P160" s="24">
        <f t="shared" si="210"/>
        <v>0</v>
      </c>
      <c r="Q160" s="24">
        <f t="shared" si="210"/>
        <v>0</v>
      </c>
      <c r="R160" s="24">
        <f t="shared" si="210"/>
        <v>0</v>
      </c>
      <c r="S160" s="24">
        <f t="shared" si="210"/>
        <v>0</v>
      </c>
      <c r="T160" s="24">
        <f t="shared" si="210"/>
        <v>0</v>
      </c>
      <c r="U160" s="24">
        <f t="shared" si="210"/>
        <v>0</v>
      </c>
      <c r="V160" s="24">
        <f t="shared" si="210"/>
        <v>0</v>
      </c>
      <c r="W160" s="24">
        <f t="shared" si="210"/>
        <v>0</v>
      </c>
      <c r="X160" s="24">
        <f t="shared" si="210"/>
        <v>11750</v>
      </c>
      <c r="Y160" s="24">
        <f t="shared" si="210"/>
        <v>11750</v>
      </c>
      <c r="Z160" s="24">
        <f t="shared" si="210"/>
        <v>11750</v>
      </c>
      <c r="AA160" s="24">
        <f t="shared" si="210"/>
        <v>11750</v>
      </c>
      <c r="AB160" s="24">
        <f t="shared" si="210"/>
        <v>11750</v>
      </c>
      <c r="AC160" s="24">
        <f t="shared" si="210"/>
        <v>13406.25</v>
      </c>
      <c r="AD160" s="1">
        <f t="shared" si="210"/>
        <v>13406.25</v>
      </c>
      <c r="AE160" s="1">
        <f t="shared" si="210"/>
        <v>25406.25</v>
      </c>
      <c r="AF160" s="1">
        <f t="shared" si="210"/>
        <v>25406.25</v>
      </c>
      <c r="AG160" s="1">
        <f t="shared" si="210"/>
        <v>25406.25</v>
      </c>
      <c r="AH160" s="1">
        <f t="shared" si="210"/>
        <v>25406.25</v>
      </c>
      <c r="AI160" s="1">
        <f t="shared" si="210"/>
        <v>25406.25</v>
      </c>
      <c r="AJ160" s="1">
        <f t="shared" si="210"/>
        <v>13406.25</v>
      </c>
      <c r="AK160" s="1">
        <f t="shared" si="210"/>
        <v>0</v>
      </c>
      <c r="AL160" s="1">
        <f t="shared" si="210"/>
        <v>0</v>
      </c>
      <c r="AM160" s="1">
        <f t="shared" si="210"/>
        <v>0</v>
      </c>
      <c r="AN160" s="1">
        <f t="shared" si="210"/>
        <v>0</v>
      </c>
      <c r="AO160" s="1">
        <f t="shared" si="210"/>
        <v>0</v>
      </c>
      <c r="AP160" s="1">
        <f t="shared" si="210"/>
        <v>0</v>
      </c>
      <c r="AQ160" s="1">
        <f t="shared" si="210"/>
        <v>0</v>
      </c>
      <c r="AR160" s="1">
        <f t="shared" si="210"/>
        <v>0</v>
      </c>
      <c r="AT160" s="24">
        <f t="shared" ref="AT160:BD160" si="211">AT146</f>
        <v>-97000</v>
      </c>
      <c r="AU160" s="24">
        <f t="shared" si="211"/>
        <v>-97000</v>
      </c>
      <c r="AV160" s="24">
        <f t="shared" si="211"/>
        <v>0</v>
      </c>
      <c r="AW160" s="24">
        <f t="shared" si="211"/>
        <v>0</v>
      </c>
      <c r="AX160" s="24">
        <f t="shared" si="211"/>
        <v>-35250</v>
      </c>
      <c r="AY160" s="1">
        <f t="shared" si="211"/>
        <v>-36906.25</v>
      </c>
      <c r="AZ160" s="1">
        <f t="shared" si="211"/>
        <v>-64218.75</v>
      </c>
      <c r="BA160" s="1">
        <f t="shared" si="211"/>
        <v>-76218.75</v>
      </c>
      <c r="BB160" s="1">
        <f t="shared" si="211"/>
        <v>-13406.25</v>
      </c>
      <c r="BC160" s="1">
        <f t="shared" si="211"/>
        <v>0</v>
      </c>
      <c r="BD160" s="1">
        <f t="shared" si="211"/>
        <v>0</v>
      </c>
      <c r="BF160" s="1">
        <f>SUM(AT160:BD160)</f>
        <v>-420000</v>
      </c>
    </row>
    <row r="161" spans="2:59" x14ac:dyDescent="0.25">
      <c r="B161" s="22" t="str">
        <f>B148</f>
        <v>Other Costs - Not In Budget</v>
      </c>
      <c r="C161" s="22"/>
      <c r="D161" s="54" t="str">
        <f>B161</f>
        <v>Other Costs - Not In Budget</v>
      </c>
      <c r="E161" s="54"/>
      <c r="F161" s="18">
        <f>F156</f>
        <v>21464</v>
      </c>
      <c r="G161" s="59">
        <f>SUMIFS($L161:$AR161,$L$7:$AR$7,"&lt;="&amp;$J$4)</f>
        <v>71960.98</v>
      </c>
      <c r="H161" s="59">
        <f t="shared" si="208"/>
        <v>19664</v>
      </c>
      <c r="J161" s="18">
        <f>SUM(L161:AR161)</f>
        <v>91624.98</v>
      </c>
      <c r="L161" s="25">
        <f>L156</f>
        <v>0</v>
      </c>
      <c r="M161" s="25">
        <f t="shared" ref="M161:AR161" si="212">M156</f>
        <v>0</v>
      </c>
      <c r="N161" s="25">
        <f t="shared" si="212"/>
        <v>0</v>
      </c>
      <c r="O161" s="25">
        <f t="shared" si="212"/>
        <v>0</v>
      </c>
      <c r="P161" s="25">
        <f t="shared" si="212"/>
        <v>0</v>
      </c>
      <c r="Q161" s="25">
        <f t="shared" si="212"/>
        <v>0</v>
      </c>
      <c r="R161" s="25">
        <f t="shared" si="212"/>
        <v>0</v>
      </c>
      <c r="S161" s="25">
        <f t="shared" si="212"/>
        <v>0</v>
      </c>
      <c r="T161" s="25">
        <f t="shared" si="212"/>
        <v>0</v>
      </c>
      <c r="U161" s="25">
        <f t="shared" si="212"/>
        <v>0</v>
      </c>
      <c r="V161" s="25">
        <f t="shared" si="212"/>
        <v>0</v>
      </c>
      <c r="W161" s="25">
        <f t="shared" si="212"/>
        <v>1800</v>
      </c>
      <c r="X161" s="25">
        <f t="shared" si="212"/>
        <v>0</v>
      </c>
      <c r="Y161" s="25">
        <f t="shared" si="212"/>
        <v>0</v>
      </c>
      <c r="Z161" s="25">
        <f t="shared" si="212"/>
        <v>70160.98</v>
      </c>
      <c r="AA161" s="25">
        <f t="shared" si="212"/>
        <v>0</v>
      </c>
      <c r="AB161" s="25">
        <f t="shared" si="212"/>
        <v>0</v>
      </c>
      <c r="AC161" s="25">
        <f t="shared" si="212"/>
        <v>0</v>
      </c>
      <c r="AD161" s="18">
        <f t="shared" si="212"/>
        <v>19664</v>
      </c>
      <c r="AE161" s="18">
        <f t="shared" si="212"/>
        <v>0</v>
      </c>
      <c r="AF161" s="18">
        <f t="shared" si="212"/>
        <v>0</v>
      </c>
      <c r="AG161" s="18">
        <f t="shared" si="212"/>
        <v>0</v>
      </c>
      <c r="AH161" s="18">
        <f t="shared" si="212"/>
        <v>0</v>
      </c>
      <c r="AI161" s="18">
        <f t="shared" si="212"/>
        <v>0</v>
      </c>
      <c r="AJ161" s="18">
        <f t="shared" si="212"/>
        <v>0</v>
      </c>
      <c r="AK161" s="18">
        <f t="shared" si="212"/>
        <v>0</v>
      </c>
      <c r="AL161" s="18">
        <f t="shared" si="212"/>
        <v>0</v>
      </c>
      <c r="AM161" s="18">
        <f t="shared" si="212"/>
        <v>0</v>
      </c>
      <c r="AN161" s="18">
        <f t="shared" si="212"/>
        <v>0</v>
      </c>
      <c r="AO161" s="18">
        <f t="shared" si="212"/>
        <v>0</v>
      </c>
      <c r="AP161" s="18">
        <f t="shared" si="212"/>
        <v>0</v>
      </c>
      <c r="AQ161" s="18">
        <f t="shared" si="212"/>
        <v>0</v>
      </c>
      <c r="AR161" s="18">
        <f t="shared" si="212"/>
        <v>0</v>
      </c>
      <c r="AT161" s="25">
        <f t="shared" ref="AT161:BD161" si="213">AT156</f>
        <v>0</v>
      </c>
      <c r="AU161" s="25">
        <f t="shared" si="213"/>
        <v>0</v>
      </c>
      <c r="AV161" s="25">
        <f t="shared" si="213"/>
        <v>0</v>
      </c>
      <c r="AW161" s="25">
        <f t="shared" si="213"/>
        <v>-1800</v>
      </c>
      <c r="AX161" s="25">
        <f t="shared" si="213"/>
        <v>-70160.98</v>
      </c>
      <c r="AY161" s="18">
        <f t="shared" si="213"/>
        <v>0</v>
      </c>
      <c r="AZ161" s="18">
        <f t="shared" si="213"/>
        <v>-19664</v>
      </c>
      <c r="BA161" s="18">
        <f t="shared" si="213"/>
        <v>0</v>
      </c>
      <c r="BB161" s="18">
        <f t="shared" si="213"/>
        <v>0</v>
      </c>
      <c r="BC161" s="18">
        <f t="shared" si="213"/>
        <v>0</v>
      </c>
      <c r="BD161" s="18">
        <f t="shared" si="213"/>
        <v>0</v>
      </c>
      <c r="BF161" s="18">
        <f>SUM(AT161:BD161)</f>
        <v>-91624.98</v>
      </c>
    </row>
    <row r="162" spans="2:59" s="20" customFormat="1" x14ac:dyDescent="0.25">
      <c r="B162" s="50" t="s">
        <v>281</v>
      </c>
      <c r="C162" s="50"/>
      <c r="D162" s="101"/>
      <c r="E162" s="101"/>
      <c r="F162" s="51">
        <f>SUM(F159:F161)</f>
        <v>1710609</v>
      </c>
      <c r="G162" s="51">
        <f>SUM(G159:G161)</f>
        <v>645783.44999999995</v>
      </c>
      <c r="H162" s="51">
        <f t="shared" ref="H162" si="214">SUM(H159:H161)</f>
        <v>1136987.7666666666</v>
      </c>
      <c r="J162" s="160">
        <f>SUM(L162:AR162)</f>
        <v>1782771.2166666663</v>
      </c>
      <c r="L162" s="51">
        <f t="shared" ref="L162" si="215">SUM(L159:L161)</f>
        <v>97000</v>
      </c>
      <c r="M162" s="51">
        <f t="shared" ref="M162" si="216">SUM(M159:M161)</f>
        <v>0</v>
      </c>
      <c r="N162" s="51">
        <f t="shared" ref="N162" si="217">SUM(N159:N161)</f>
        <v>0</v>
      </c>
      <c r="O162" s="51">
        <f t="shared" ref="O162" si="218">SUM(O159:O161)</f>
        <v>97000</v>
      </c>
      <c r="P162" s="51">
        <f t="shared" ref="P162" si="219">SUM(P159:P161)</f>
        <v>0</v>
      </c>
      <c r="Q162" s="51">
        <f t="shared" ref="Q162" si="220">SUM(Q159:Q161)</f>
        <v>0</v>
      </c>
      <c r="R162" s="51">
        <f t="shared" ref="R162" si="221">SUM(R159:R161)</f>
        <v>0</v>
      </c>
      <c r="S162" s="51">
        <f t="shared" ref="S162" si="222">SUM(S159:S161)</f>
        <v>0</v>
      </c>
      <c r="T162" s="51">
        <f t="shared" ref="T162" si="223">SUM(T159:T161)</f>
        <v>0</v>
      </c>
      <c r="U162" s="51">
        <f t="shared" ref="U162" si="224">SUM(U159:U161)</f>
        <v>0</v>
      </c>
      <c r="V162" s="51">
        <f t="shared" ref="V162" si="225">SUM(V159:V161)</f>
        <v>0</v>
      </c>
      <c r="W162" s="51">
        <f t="shared" ref="W162" si="226">SUM(W159:W161)</f>
        <v>46664</v>
      </c>
      <c r="X162" s="51">
        <f t="shared" ref="X162" si="227">SUM(X159:X161)</f>
        <v>11750</v>
      </c>
      <c r="Y162" s="51">
        <f t="shared" ref="Y162" si="228">SUM(Y159:Y161)</f>
        <v>11750</v>
      </c>
      <c r="Z162" s="51">
        <f t="shared" ref="Z162" si="229">SUM(Z159:Z161)</f>
        <v>313894.27</v>
      </c>
      <c r="AA162" s="51">
        <f t="shared" ref="AA162" si="230">SUM(AA159:AA161)</f>
        <v>15995.666666666668</v>
      </c>
      <c r="AB162" s="51">
        <f t="shared" ref="AB162" si="231">SUM(AB159:AB161)</f>
        <v>25620.496666666666</v>
      </c>
      <c r="AC162" s="51">
        <f t="shared" ref="AC162" si="232">SUM(AC159:AC161)</f>
        <v>26109.016666666666</v>
      </c>
      <c r="AD162" s="51">
        <f t="shared" ref="AD162" si="233">SUM(AD159:AD161)</f>
        <v>285119.26666666666</v>
      </c>
      <c r="AE162" s="51">
        <f t="shared" ref="AE162" si="234">SUM(AE159:AE161)</f>
        <v>64687.916666666672</v>
      </c>
      <c r="AF162" s="51">
        <f t="shared" ref="AF162" si="235">SUM(AF159:AF161)</f>
        <v>75261.916666666672</v>
      </c>
      <c r="AG162" s="51">
        <f t="shared" ref="AG162" si="236">SUM(AG159:AG161)</f>
        <v>95336.583333333343</v>
      </c>
      <c r="AH162" s="51">
        <f t="shared" ref="AH162" si="237">SUM(AH159:AH161)</f>
        <v>127633.58333333334</v>
      </c>
      <c r="AI162" s="51">
        <f t="shared" ref="AI162" si="238">SUM(AI159:AI161)</f>
        <v>131212.58333333334</v>
      </c>
      <c r="AJ162" s="51">
        <f t="shared" ref="AJ162" si="239">SUM(AJ159:AJ161)</f>
        <v>161363.58333333334</v>
      </c>
      <c r="AK162" s="51">
        <f t="shared" ref="AK162" si="240">SUM(AK159:AK161)</f>
        <v>160472.33333333334</v>
      </c>
      <c r="AL162" s="51">
        <f t="shared" ref="AL162" si="241">SUM(AL159:AL161)</f>
        <v>9650</v>
      </c>
      <c r="AM162" s="51">
        <f t="shared" ref="AM162" si="242">SUM(AM159:AM161)</f>
        <v>26250</v>
      </c>
      <c r="AN162" s="51">
        <f t="shared" ref="AN162" si="243">SUM(AN159:AN161)</f>
        <v>0</v>
      </c>
      <c r="AO162" s="51">
        <f t="shared" ref="AO162" si="244">SUM(AO159:AO161)</f>
        <v>0</v>
      </c>
      <c r="AP162" s="51">
        <f t="shared" ref="AP162" si="245">SUM(AP159:AP161)</f>
        <v>0</v>
      </c>
      <c r="AQ162" s="51">
        <f t="shared" ref="AQ162" si="246">SUM(AQ159:AQ161)</f>
        <v>0</v>
      </c>
      <c r="AR162" s="51">
        <f t="shared" ref="AR162" si="247">SUM(AR159:AR161)</f>
        <v>0</v>
      </c>
      <c r="AT162" s="51">
        <f>SUM(AT156:AT161)</f>
        <v>-97000</v>
      </c>
      <c r="AU162" s="51">
        <f t="shared" ref="AU162" si="248">SUM(AU156:AU161)</f>
        <v>-97000</v>
      </c>
      <c r="AV162" s="51">
        <f t="shared" ref="AV162" si="249">SUM(AV156:AV161)</f>
        <v>0</v>
      </c>
      <c r="AW162" s="51">
        <f t="shared" ref="AW162" si="250">SUM(AW156:AW161)</f>
        <v>-3600</v>
      </c>
      <c r="AX162" s="51">
        <f t="shared" ref="AX162" si="251">SUM(AX156:AX161)</f>
        <v>-175571.96</v>
      </c>
      <c r="AY162" s="51">
        <f t="shared" ref="AY162" si="252">SUM(AY156:AY161)</f>
        <v>-36906.25</v>
      </c>
      <c r="AZ162" s="51">
        <f t="shared" ref="AZ162" si="253">SUM(AZ156:AZ161)</f>
        <v>-103546.75</v>
      </c>
      <c r="BA162" s="51">
        <f t="shared" ref="BA162" si="254">SUM(BA156:BA161)</f>
        <v>-76218.75</v>
      </c>
      <c r="BB162" s="51">
        <f t="shared" ref="BB162" si="255">SUM(BB156:BB161)</f>
        <v>-13406.25</v>
      </c>
      <c r="BC162" s="51">
        <f t="shared" ref="BC162" si="256">SUM(BC156:BC161)</f>
        <v>0</v>
      </c>
      <c r="BD162" s="51">
        <f t="shared" ref="BD162" si="257">SUM(BD156:BD161)</f>
        <v>0</v>
      </c>
      <c r="BF162" s="51">
        <f>SUM(AT162:BD162)</f>
        <v>-603249.96</v>
      </c>
      <c r="BG162" s="15"/>
    </row>
    <row r="164" spans="2:59" x14ac:dyDescent="0.25">
      <c r="H164" s="1">
        <f>J164-J161</f>
        <v>-19462.763333333671</v>
      </c>
      <c r="J164" s="1">
        <f>J162-F162</f>
        <v>72162.216666666325</v>
      </c>
    </row>
    <row r="165" spans="2:59" x14ac:dyDescent="0.25">
      <c r="J165" s="1">
        <f>J162-Sheet1!H24</f>
        <v>26656.903333336348</v>
      </c>
    </row>
  </sheetData>
  <hyperlinks>
    <hyperlink ref="B37" r:id="rId1" location="gid=1181706149" xr:uid="{AA515449-AC44-4656-8676-EAC6C35D8614}"/>
  </hyperlinks>
  <pageMargins left="0.70866141732283472" right="0.70866141732283472" top="0.74803149606299213" bottom="0.74803149606299213" header="0.31496062992125984" footer="0.31496062992125984"/>
  <pageSetup paperSize="9" scale="13" orientation="portrait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9911-1C32-4EC7-99FC-D2B9DD1DAB8E}">
  <sheetPr>
    <tabColor rgb="FFEBE9D9"/>
  </sheetPr>
  <dimension ref="C4:N26"/>
  <sheetViews>
    <sheetView showGridLines="0" topLeftCell="A6" workbookViewId="0">
      <selection activeCell="N6" sqref="N6"/>
    </sheetView>
  </sheetViews>
  <sheetFormatPr defaultColWidth="8.7109375" defaultRowHeight="12.75" outlineLevelCol="1" x14ac:dyDescent="0.2"/>
  <cols>
    <col min="1" max="2" width="8.7109375" style="132"/>
    <col min="3" max="3" width="38.85546875" style="132" bestFit="1" customWidth="1"/>
    <col min="4" max="4" width="12.28515625" style="132" customWidth="1"/>
    <col min="5" max="6" width="10.140625" style="132" hidden="1" customWidth="1" outlineLevel="1"/>
    <col min="7" max="7" width="0.42578125" style="132" customWidth="1" collapsed="1"/>
    <col min="8" max="9" width="10.140625" style="132" customWidth="1"/>
    <col min="10" max="10" width="11.42578125" style="132" customWidth="1"/>
    <col min="11" max="11" width="11.85546875" style="132" hidden="1" customWidth="1" outlineLevel="1"/>
    <col min="12" max="12" width="8.7109375" style="132" collapsed="1"/>
    <col min="13" max="13" width="8.7109375" style="132"/>
    <col min="14" max="14" width="9.42578125" style="132" bestFit="1" customWidth="1"/>
    <col min="15" max="16384" width="8.7109375" style="132"/>
  </cols>
  <sheetData>
    <row r="4" spans="3:11" ht="15" x14ac:dyDescent="0.25">
      <c r="C4" s="174" t="s">
        <v>305</v>
      </c>
    </row>
    <row r="5" spans="3:11" ht="15" x14ac:dyDescent="0.35">
      <c r="C5" s="169" t="s">
        <v>302</v>
      </c>
      <c r="D5" s="170"/>
      <c r="E5" s="170" t="s">
        <v>290</v>
      </c>
      <c r="F5" s="170"/>
      <c r="G5" s="170"/>
      <c r="H5" s="170" t="s">
        <v>291</v>
      </c>
      <c r="I5" s="170"/>
      <c r="J5" s="170"/>
      <c r="K5" s="154"/>
    </row>
    <row r="6" spans="3:11" ht="50.45" customHeight="1" x14ac:dyDescent="0.2">
      <c r="C6" s="171" t="s">
        <v>282</v>
      </c>
      <c r="D6" s="171" t="s">
        <v>286</v>
      </c>
      <c r="E6" s="172" t="s">
        <v>221</v>
      </c>
      <c r="F6" s="173" t="s">
        <v>293</v>
      </c>
      <c r="G6" s="172"/>
      <c r="H6" s="172" t="s">
        <v>123</v>
      </c>
      <c r="I6" s="172" t="s">
        <v>124</v>
      </c>
      <c r="J6" s="173" t="s">
        <v>292</v>
      </c>
      <c r="K6" s="155" t="s">
        <v>294</v>
      </c>
    </row>
    <row r="7" spans="3:11" x14ac:dyDescent="0.2">
      <c r="C7" s="126" t="s">
        <v>119</v>
      </c>
      <c r="D7" s="132" t="s">
        <v>119</v>
      </c>
      <c r="E7" s="134">
        <v>150000</v>
      </c>
      <c r="F7" s="134">
        <f>'Model - Preopening &amp; Fees'!F52</f>
        <v>180083</v>
      </c>
      <c r="G7" s="134"/>
      <c r="H7" s="134">
        <f>'Model - Preopening &amp; Fees'!G52</f>
        <v>1000</v>
      </c>
      <c r="I7" s="134">
        <f>'Model - Preopening &amp; Fees'!H52</f>
        <v>150632</v>
      </c>
      <c r="J7" s="158">
        <f>'Model - Preopening &amp; Fees'!J52</f>
        <v>151632</v>
      </c>
      <c r="K7" s="136">
        <f>J7-F7</f>
        <v>-28451</v>
      </c>
    </row>
    <row r="8" spans="3:11" x14ac:dyDescent="0.2">
      <c r="C8" s="126" t="s">
        <v>296</v>
      </c>
      <c r="D8" s="132" t="s">
        <v>296</v>
      </c>
      <c r="E8" s="134">
        <v>0</v>
      </c>
      <c r="F8" s="134">
        <f>'Model - Preopening &amp; Fees'!F88+'Model - Preopening &amp; Fees'!F89</f>
        <v>33000</v>
      </c>
      <c r="G8" s="134"/>
      <c r="H8" s="134">
        <f>'Model - Preopening &amp; Fees'!G88+'Model - Preopening &amp; Fees'!G89</f>
        <v>2000</v>
      </c>
      <c r="I8" s="134">
        <f>'Model - Preopening &amp; Fees'!H88+'Model - Preopening &amp; Fees'!H89</f>
        <v>29200</v>
      </c>
      <c r="J8" s="158">
        <f>'Model - Preopening &amp; Fees'!J88+'Model - Preopening &amp; Fees'!J89</f>
        <v>31200</v>
      </c>
      <c r="K8" s="136">
        <f>J8-F8</f>
        <v>-1800</v>
      </c>
    </row>
    <row r="9" spans="3:11" x14ac:dyDescent="0.2">
      <c r="C9" s="126" t="s">
        <v>143</v>
      </c>
      <c r="D9" s="132" t="s">
        <v>143</v>
      </c>
      <c r="E9" s="134">
        <v>0</v>
      </c>
      <c r="F9" s="134">
        <f>'Model - Preopening &amp; Fees'!F66</f>
        <v>75000</v>
      </c>
      <c r="G9" s="134"/>
      <c r="H9" s="134">
        <f>'Model - Preopening &amp; Fees'!G66</f>
        <v>36335.5</v>
      </c>
      <c r="I9" s="134">
        <f>'Model - Preopening &amp; Fees'!H66</f>
        <v>47000</v>
      </c>
      <c r="J9" s="158">
        <f>'Model - Preopening &amp; Fees'!J66</f>
        <v>83335.5</v>
      </c>
      <c r="K9" s="136">
        <f t="shared" ref="K9:K18" si="0">J9-F9</f>
        <v>8335.5</v>
      </c>
    </row>
    <row r="10" spans="3:11" x14ac:dyDescent="0.2">
      <c r="C10" s="126" t="s">
        <v>283</v>
      </c>
      <c r="D10" s="132" t="s">
        <v>146</v>
      </c>
      <c r="E10" s="134">
        <v>65161.272321428572</v>
      </c>
      <c r="F10" s="134">
        <f>SUM('Model - Preopening &amp; Fees'!F73:F75,'Model - Preopening &amp; Fees'!F79:F82,'Model - Preopening &amp; Fees'!F85:F87)</f>
        <v>192502</v>
      </c>
      <c r="G10" s="134"/>
      <c r="H10" s="134">
        <f>SUM('Model - Preopening &amp; Fees'!G73:G76,'Model - Preopening &amp; Fees'!G79:G82,'Model - Preopening &amp; Fees'!G85:G87)</f>
        <v>13872.69</v>
      </c>
      <c r="I10" s="134">
        <f>SUM('Model - Preopening &amp; Fees'!H73:H76,'Model - Preopening &amp; Fees'!H79:H82,'Model - Preopening &amp; Fees'!H85:H87)</f>
        <v>181098.66666666669</v>
      </c>
      <c r="J10" s="159">
        <f>SUM('Model - Preopening &amp; Fees'!J73:J76,'Model - Preopening &amp; Fees'!J79:J82,'Model - Preopening &amp; Fees'!J85:J87)</f>
        <v>194971.35666666669</v>
      </c>
      <c r="K10" s="136">
        <f t="shared" si="0"/>
        <v>2469.3566666666884</v>
      </c>
    </row>
    <row r="11" spans="3:11" x14ac:dyDescent="0.2">
      <c r="C11" s="126" t="s">
        <v>284</v>
      </c>
      <c r="D11" s="132" t="s">
        <v>146</v>
      </c>
      <c r="E11" s="134">
        <v>373000</v>
      </c>
      <c r="F11" s="134">
        <f>SUM('Model - Preopening &amp; Fees'!F92:F94)</f>
        <v>390950</v>
      </c>
      <c r="G11" s="134"/>
      <c r="H11" s="134">
        <f>SUM('Model - Preopening &amp; Fees'!G92:G94)</f>
        <v>236859</v>
      </c>
      <c r="I11" s="134">
        <f>SUM('Model - Preopening &amp; Fees'!H92:H94)</f>
        <v>190903.35</v>
      </c>
      <c r="J11" s="158">
        <f>SUM('Model - Preopening &amp; Fees'!J92:J94)</f>
        <v>427762.35</v>
      </c>
      <c r="K11" s="136">
        <f t="shared" si="0"/>
        <v>36812.349999999977</v>
      </c>
    </row>
    <row r="12" spans="3:11" x14ac:dyDescent="0.2">
      <c r="C12" s="126" t="s">
        <v>258</v>
      </c>
      <c r="D12" s="132" t="s">
        <v>160</v>
      </c>
      <c r="E12" s="134">
        <v>0</v>
      </c>
      <c r="F12" s="134">
        <f>'Model - Preopening &amp; Fees'!F110</f>
        <v>38310</v>
      </c>
      <c r="G12" s="134"/>
      <c r="H12" s="134">
        <f>'Model - Preopening &amp; Fees'!G110</f>
        <v>0</v>
      </c>
      <c r="I12" s="134">
        <f>'Model - Preopening &amp; Fees'!H110</f>
        <v>38310</v>
      </c>
      <c r="J12" s="158">
        <f>'Model - Preopening &amp; Fees'!J110</f>
        <v>38310</v>
      </c>
      <c r="K12" s="136">
        <f t="shared" si="0"/>
        <v>0</v>
      </c>
    </row>
    <row r="13" spans="3:11" x14ac:dyDescent="0.2">
      <c r="C13" s="126" t="s">
        <v>168</v>
      </c>
      <c r="D13" s="132" t="s">
        <v>288</v>
      </c>
      <c r="E13" s="134">
        <v>0</v>
      </c>
      <c r="F13" s="134">
        <f>'Model - Preopening &amp; Fees'!F117</f>
        <v>165000</v>
      </c>
      <c r="G13" s="134"/>
      <c r="H13" s="134">
        <f>'Model - Preopening &amp; Fees'!G117</f>
        <v>0</v>
      </c>
      <c r="I13" s="134">
        <f>'Model - Preopening &amp; Fees'!H117</f>
        <v>165000</v>
      </c>
      <c r="J13" s="158">
        <f>'Model - Preopening &amp; Fees'!J117</f>
        <v>165000</v>
      </c>
      <c r="K13" s="136">
        <f t="shared" si="0"/>
        <v>0</v>
      </c>
    </row>
    <row r="14" spans="3:11" x14ac:dyDescent="0.2">
      <c r="C14" s="126" t="s">
        <v>227</v>
      </c>
      <c r="D14" s="132" t="s">
        <v>289</v>
      </c>
      <c r="E14" s="134">
        <v>81000</v>
      </c>
      <c r="F14" s="134">
        <f>SUM('Model - Preopening &amp; Fees'!F122:F124)</f>
        <v>67500</v>
      </c>
      <c r="G14" s="134"/>
      <c r="H14" s="134">
        <f>SUM('Model - Preopening &amp; Fees'!G122:G124)</f>
        <v>0</v>
      </c>
      <c r="I14" s="134">
        <f>SUM('Model - Preopening &amp; Fees'!H122:H124)</f>
        <v>72500</v>
      </c>
      <c r="J14" s="158">
        <f>SUM('Model - Preopening &amp; Fees'!J122:J124)</f>
        <v>72500</v>
      </c>
      <c r="K14" s="136">
        <f t="shared" si="0"/>
        <v>5000</v>
      </c>
    </row>
    <row r="15" spans="3:11" x14ac:dyDescent="0.2">
      <c r="C15" s="126" t="s">
        <v>285</v>
      </c>
      <c r="D15" s="132" t="s">
        <v>289</v>
      </c>
      <c r="E15" s="134">
        <v>0</v>
      </c>
      <c r="F15" s="134">
        <f>'Model - Preopening &amp; Fees'!F125</f>
        <v>40000</v>
      </c>
      <c r="G15" s="134"/>
      <c r="H15" s="134">
        <f>'Model - Preopening &amp; Fees'!G125</f>
        <v>2364</v>
      </c>
      <c r="I15" s="134">
        <f>'Model - Preopening &amp; Fees'!H125</f>
        <v>37636</v>
      </c>
      <c r="J15" s="158">
        <f>'Model - Preopening &amp; Fees'!J125</f>
        <v>40000</v>
      </c>
      <c r="K15" s="136">
        <f t="shared" si="0"/>
        <v>0</v>
      </c>
    </row>
    <row r="16" spans="3:11" x14ac:dyDescent="0.2">
      <c r="C16" s="126" t="s">
        <v>175</v>
      </c>
      <c r="D16" s="132" t="s">
        <v>287</v>
      </c>
      <c r="E16" s="134">
        <v>0</v>
      </c>
      <c r="F16" s="134">
        <f>'Model - Preopening &amp; Fees'!F126</f>
        <v>76800</v>
      </c>
      <c r="G16" s="134"/>
      <c r="H16" s="134">
        <f>'Model - Preopening &amp; Fees'!G126</f>
        <v>15235.03</v>
      </c>
      <c r="I16" s="134">
        <f>'Model - Preopening &amp; Fees'!H126</f>
        <v>51200</v>
      </c>
      <c r="J16" s="158">
        <f>'Model - Preopening &amp; Fees'!J126</f>
        <v>66435.03</v>
      </c>
      <c r="K16" s="136">
        <f t="shared" si="0"/>
        <v>-10364.970000000001</v>
      </c>
    </row>
    <row r="17" spans="3:14" x14ac:dyDescent="0.2">
      <c r="C17" s="152" t="s">
        <v>176</v>
      </c>
      <c r="D17" s="132" t="s">
        <v>288</v>
      </c>
      <c r="E17" s="153">
        <v>0</v>
      </c>
      <c r="F17" s="153">
        <f>'Model - Preopening &amp; Fees'!F127</f>
        <v>0</v>
      </c>
      <c r="G17" s="153"/>
      <c r="H17" s="134">
        <f>'Model - Preopening &amp; Fees'!G127</f>
        <v>0</v>
      </c>
      <c r="I17" s="134">
        <f>'Model - Preopening &amp; Fees'!H127</f>
        <v>0</v>
      </c>
      <c r="J17" s="158">
        <f>'Model - Preopening &amp; Fees'!J127</f>
        <v>0</v>
      </c>
      <c r="K17" s="136">
        <f t="shared" si="0"/>
        <v>0</v>
      </c>
    </row>
    <row r="18" spans="3:14" x14ac:dyDescent="0.2">
      <c r="C18" s="161" t="s">
        <v>303</v>
      </c>
      <c r="D18" s="162"/>
      <c r="E18" s="157">
        <f>SUM(E7:E17)</f>
        <v>669161.27232142864</v>
      </c>
      <c r="F18" s="157">
        <f>SUM(F7:F17)</f>
        <v>1259145</v>
      </c>
      <c r="G18" s="157"/>
      <c r="H18" s="157">
        <f>SUM(H7:H17)</f>
        <v>307666.22000000003</v>
      </c>
      <c r="I18" s="157">
        <f>SUM(I7:I17)</f>
        <v>963480.01666666672</v>
      </c>
      <c r="J18" s="157">
        <f>SUM(J7:J17)</f>
        <v>1271146.2366666666</v>
      </c>
      <c r="K18" s="163">
        <f t="shared" si="0"/>
        <v>12001.236666666577</v>
      </c>
    </row>
    <row r="19" spans="3:14" x14ac:dyDescent="0.2">
      <c r="C19" s="175"/>
      <c r="D19" s="176"/>
      <c r="E19" s="158"/>
      <c r="F19" s="158"/>
      <c r="G19" s="158"/>
      <c r="H19" s="158"/>
      <c r="I19" s="158"/>
      <c r="J19" s="158"/>
      <c r="K19" s="177"/>
    </row>
    <row r="21" spans="3:14" x14ac:dyDescent="0.2">
      <c r="C21" s="132" t="s">
        <v>178</v>
      </c>
      <c r="F21" s="134">
        <f>'Model - Preopening &amp; Fees'!F160</f>
        <v>420000</v>
      </c>
      <c r="H21" s="134">
        <f>'Model - Preopening &amp; Fees'!G160</f>
        <v>266156.25</v>
      </c>
      <c r="I21" s="134">
        <f>'Model - Preopening &amp; Fees'!H160</f>
        <v>153843.75</v>
      </c>
      <c r="J21" s="159">
        <f>'Model - Preopening &amp; Fees'!J160</f>
        <v>420000</v>
      </c>
      <c r="K21" s="134">
        <f t="shared" ref="K21:K22" si="1">F21-J21</f>
        <v>0</v>
      </c>
    </row>
    <row r="22" spans="3:14" x14ac:dyDescent="0.2">
      <c r="C22" s="132" t="s">
        <v>306</v>
      </c>
      <c r="F22" s="134">
        <f>'Model - Preopening &amp; Fees'!F161</f>
        <v>21464</v>
      </c>
      <c r="H22" s="134">
        <f>'Model - Preopening &amp; Fees'!G161</f>
        <v>71960.98</v>
      </c>
      <c r="I22" s="134">
        <f>'Model - Preopening &amp; Fees'!H161</f>
        <v>19664</v>
      </c>
      <c r="J22" s="158">
        <f>'Model - Preopening &amp; Fees'!J161</f>
        <v>91624.98</v>
      </c>
      <c r="K22" s="134">
        <f t="shared" si="1"/>
        <v>-70160.98</v>
      </c>
    </row>
    <row r="23" spans="3:14" x14ac:dyDescent="0.2">
      <c r="C23" s="166" t="s">
        <v>304</v>
      </c>
      <c r="D23" s="167"/>
      <c r="E23" s="168"/>
      <c r="F23" s="168">
        <f>SUM(F18:F22)</f>
        <v>1700609</v>
      </c>
      <c r="G23" s="168"/>
      <c r="H23" s="168">
        <f>SUM(H18:H22)</f>
        <v>645783.44999999995</v>
      </c>
      <c r="I23" s="168">
        <f t="shared" ref="I23:K23" si="2">SUM(I18:I22)</f>
        <v>1136987.7666666666</v>
      </c>
      <c r="J23" s="168">
        <f>SUM(J18:J22)</f>
        <v>1782771.2166666666</v>
      </c>
      <c r="K23" s="156">
        <f t="shared" si="2"/>
        <v>-58159.743333333419</v>
      </c>
      <c r="M23" s="133" t="s">
        <v>301</v>
      </c>
      <c r="N23" s="136">
        <f>'Model - Preopening &amp; Fees'!J162</f>
        <v>1782771.2166666663</v>
      </c>
    </row>
    <row r="25" spans="3:14" x14ac:dyDescent="0.2">
      <c r="C25" s="164"/>
      <c r="D25" s="164"/>
      <c r="E25" s="164"/>
      <c r="F25" s="164"/>
      <c r="G25" s="164"/>
      <c r="H25" s="164"/>
      <c r="I25" s="164"/>
      <c r="J25" s="165"/>
    </row>
    <row r="26" spans="3:14" x14ac:dyDescent="0.2">
      <c r="C26" s="133"/>
      <c r="D26" s="133"/>
      <c r="E26" s="133"/>
      <c r="F26" s="133"/>
      <c r="G26" s="133"/>
      <c r="H26" s="133"/>
      <c r="I26" s="133"/>
      <c r="J26" s="1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1ED9-0520-4ADC-A66E-5220F62A2C99}">
  <sheetPr>
    <tabColor rgb="FFEAF3E9"/>
  </sheetPr>
  <dimension ref="B1:S89"/>
  <sheetViews>
    <sheetView showGridLines="0" topLeftCell="A26" zoomScale="90" zoomScaleNormal="90" workbookViewId="0">
      <selection activeCell="C44" sqref="C44"/>
    </sheetView>
  </sheetViews>
  <sheetFormatPr defaultColWidth="8.7109375" defaultRowHeight="17.25" customHeight="1" x14ac:dyDescent="0.25"/>
  <cols>
    <col min="1" max="1" width="5.42578125" style="69" customWidth="1"/>
    <col min="2" max="2" width="6.140625" style="69" customWidth="1"/>
    <col min="3" max="3" width="53.28515625" style="69" customWidth="1"/>
    <col min="4" max="4" width="27.7109375" style="69" customWidth="1"/>
    <col min="5" max="6" width="12.42578125" style="69" customWidth="1"/>
    <col min="7" max="11" width="11.42578125" style="69" customWidth="1"/>
    <col min="12" max="13" width="13.7109375" style="90" customWidth="1"/>
    <col min="14" max="15" width="13.28515625" style="69" customWidth="1"/>
    <col min="16" max="16384" width="8.7109375" style="69"/>
  </cols>
  <sheetData>
    <row r="1" spans="2:19" ht="14.25" customHeight="1" x14ac:dyDescent="0.25"/>
    <row r="2" spans="2:19" ht="14.25" customHeight="1" x14ac:dyDescent="0.25">
      <c r="B2" s="99" t="s">
        <v>188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2:19" ht="14.25" customHeight="1" x14ac:dyDescent="0.25">
      <c r="S3" s="90" t="s">
        <v>189</v>
      </c>
    </row>
    <row r="4" spans="2:19" ht="17.25" customHeight="1" x14ac:dyDescent="0.25">
      <c r="B4" s="69" t="s">
        <v>190</v>
      </c>
      <c r="D4" s="102">
        <f>'Model - Preopening &amp; Fees'!J4</f>
        <v>46203</v>
      </c>
      <c r="I4" s="72">
        <f>I15-G15</f>
        <v>22700.349999999977</v>
      </c>
      <c r="S4" s="90" t="s">
        <v>191</v>
      </c>
    </row>
    <row r="5" spans="2:19" ht="14.25" customHeight="1" x14ac:dyDescent="0.25"/>
    <row r="6" spans="2:19" ht="29.25" customHeight="1" x14ac:dyDescent="0.25">
      <c r="B6" s="93" t="s">
        <v>192</v>
      </c>
      <c r="C6" s="93"/>
      <c r="D6" s="93"/>
      <c r="E6" s="93"/>
      <c r="F6" s="94" t="s">
        <v>193</v>
      </c>
      <c r="G6" s="94" t="s">
        <v>194</v>
      </c>
      <c r="H6" s="94" t="s">
        <v>195</v>
      </c>
      <c r="I6" s="94" t="s">
        <v>196</v>
      </c>
      <c r="J6" s="94" t="s">
        <v>197</v>
      </c>
      <c r="K6" s="95" t="s">
        <v>198</v>
      </c>
    </row>
    <row r="7" spans="2:19" ht="15.75" customHeight="1" x14ac:dyDescent="0.25">
      <c r="B7" s="70" t="s">
        <v>119</v>
      </c>
      <c r="C7" s="70"/>
      <c r="D7" s="71"/>
      <c r="F7" s="103">
        <f>'Model - Preopening &amp; Fees'!J133</f>
        <v>151632</v>
      </c>
      <c r="G7" s="71">
        <f>SUMIFS($I$20:$I$87,$D$20:$D$87,$B7,$G$20:$G$87,"&lt;="&amp;$D$4)</f>
        <v>1000</v>
      </c>
      <c r="H7" s="72">
        <f>F7-G7</f>
        <v>150632</v>
      </c>
      <c r="I7" s="71">
        <f>SUMIFS($I$20:$I$87,$D$20:$D$87,$B7)</f>
        <v>1000</v>
      </c>
      <c r="J7" s="71">
        <f>SUMIFS($J$20:$J$87,$D$20:$D$87,$B7)</f>
        <v>220</v>
      </c>
      <c r="K7" s="71">
        <f>SUMIFS($K$20:$K$87,$D$20:$D$87,$B7)</f>
        <v>1220</v>
      </c>
      <c r="M7" s="107">
        <f>G7-'Model - Preopening &amp; Fees'!G133</f>
        <v>0</v>
      </c>
    </row>
    <row r="8" spans="2:19" ht="15.75" customHeight="1" x14ac:dyDescent="0.25">
      <c r="B8" s="73" t="s">
        <v>143</v>
      </c>
      <c r="C8" s="73"/>
      <c r="D8" s="71"/>
      <c r="F8" s="103">
        <f>'Model - Preopening &amp; Fees'!J134</f>
        <v>83335.5</v>
      </c>
      <c r="G8" s="71">
        <f>SUMIFS($I$20:$I$87,$D$20:$D$87,$B8,$G$20:$G$87,"&lt;="&amp;$D$4)</f>
        <v>36335.5</v>
      </c>
      <c r="H8" s="72">
        <f t="shared" ref="H8:H14" si="0">F8-G8</f>
        <v>47000</v>
      </c>
      <c r="I8" s="71">
        <f>SUMIFS($I$20:$I$87,$D$20:$D$87,$B8)</f>
        <v>36335.5</v>
      </c>
      <c r="J8" s="71">
        <f>SUMIFS($J$20:$J$87,$D$20:$D$87,$B8)</f>
        <v>7993.8099999999995</v>
      </c>
      <c r="K8" s="71">
        <f>SUMIFS($K$20:$K$87,$D$20:$D$87,$B8)</f>
        <v>44329.31</v>
      </c>
      <c r="M8" s="107">
        <f>G8-'Model - Preopening &amp; Fees'!G134</f>
        <v>0</v>
      </c>
    </row>
    <row r="9" spans="2:19" ht="15.6" customHeight="1" x14ac:dyDescent="0.25">
      <c r="B9" s="73" t="s">
        <v>146</v>
      </c>
      <c r="C9" s="73"/>
      <c r="D9" s="71"/>
      <c r="F9" s="103">
        <f>'Model - Preopening &amp; Fees'!J135</f>
        <v>653933.70666666678</v>
      </c>
      <c r="G9" s="71">
        <f>SUMIFS($I$20:$I$87,$D$20:$D$87,$B9,$G$20:$G$87,"&lt;="&amp;$D$4)</f>
        <v>252731.68999999997</v>
      </c>
      <c r="H9" s="72">
        <f t="shared" si="0"/>
        <v>401202.01666666684</v>
      </c>
      <c r="I9" s="71">
        <f>SUMIFS($I$20:$I$87,$D$20:$D$87,$B9)</f>
        <v>255768.03999999998</v>
      </c>
      <c r="J9" s="71">
        <f>SUMIFS($J$20:$J$87,$D$20:$D$87,$B9)</f>
        <v>53466.828800000003</v>
      </c>
      <c r="K9" s="71">
        <f>SUMIFS($K$20:$K$87,$D$20:$D$87,$B9)</f>
        <v>309234.86880000005</v>
      </c>
      <c r="M9" s="107">
        <f>G9-'Model - Preopening &amp; Fees'!G135</f>
        <v>0</v>
      </c>
    </row>
    <row r="10" spans="2:19" ht="15.6" customHeight="1" x14ac:dyDescent="0.25">
      <c r="B10" s="73" t="s">
        <v>160</v>
      </c>
      <c r="C10" s="73"/>
      <c r="D10" s="71"/>
      <c r="F10" s="103">
        <f>'Model - Preopening &amp; Fees'!J136</f>
        <v>38310</v>
      </c>
      <c r="G10" s="71">
        <f t="shared" ref="G10" si="1">SUMIFS($I$20:$I$87,$D$20:$D$87,$B10,$G$20:$G$87,"&lt;="&amp;$D$4)</f>
        <v>0</v>
      </c>
      <c r="H10" s="72">
        <f t="shared" ref="H10" si="2">F10-G10</f>
        <v>38310</v>
      </c>
      <c r="I10" s="71">
        <f t="shared" ref="I10" si="3">SUMIFS($I$20:$I$87,$D$20:$D$87,$B10)</f>
        <v>0</v>
      </c>
      <c r="J10" s="71">
        <f t="shared" ref="J10" si="4">SUMIFS($J$20:$J$87,$D$20:$D$87,$B10)</f>
        <v>0</v>
      </c>
      <c r="K10" s="71">
        <f t="shared" ref="K10" si="5">SUMIFS($K$20:$K$87,$D$20:$D$87,$B10)</f>
        <v>0</v>
      </c>
      <c r="M10" s="107"/>
    </row>
    <row r="11" spans="2:19" ht="15.75" customHeight="1" x14ac:dyDescent="0.25">
      <c r="B11" s="73" t="s">
        <v>168</v>
      </c>
      <c r="C11" s="73"/>
      <c r="D11" s="71"/>
      <c r="F11" s="103">
        <f>'Model - Preopening &amp; Fees'!J137</f>
        <v>165000</v>
      </c>
      <c r="G11" s="71">
        <f>SUMIFS($I$20:$I$87,$D$20:$D$87,$B11,$G$20:$G$87,"&lt;="&amp;$D$4)</f>
        <v>0</v>
      </c>
      <c r="H11" s="72">
        <f t="shared" si="0"/>
        <v>165000</v>
      </c>
      <c r="I11" s="71">
        <f>SUMIFS($I$20:$I$87,$D$20:$D$87,$B11)</f>
        <v>0</v>
      </c>
      <c r="J11" s="71">
        <f>SUMIFS($J$20:$J$87,$D$20:$D$87,$B11)</f>
        <v>0</v>
      </c>
      <c r="K11" s="71">
        <f>SUMIFS($K$20:$K$87,$D$20:$D$87,$B11)</f>
        <v>0</v>
      </c>
      <c r="M11" s="107">
        <f>G11-'Model - Preopening &amp; Fees'!G137</f>
        <v>0</v>
      </c>
    </row>
    <row r="12" spans="2:19" ht="15.75" customHeight="1" x14ac:dyDescent="0.25">
      <c r="B12" s="73" t="s">
        <v>171</v>
      </c>
      <c r="C12" s="73"/>
      <c r="D12" s="71"/>
      <c r="F12" s="103">
        <f>'Model - Preopening &amp; Fees'!J138</f>
        <v>178935.03</v>
      </c>
      <c r="G12" s="71">
        <f>SUMIFS($I$20:$I$87,$D$20:$D$87,$B12,$G$20:$G$87,"&lt;="&amp;$D$4)</f>
        <v>17599.03</v>
      </c>
      <c r="H12" s="72">
        <f t="shared" si="0"/>
        <v>161336</v>
      </c>
      <c r="I12" s="71">
        <f>SUMIFS($I$20:$I$87,$D$20:$D$87,$B12)</f>
        <v>17599.03</v>
      </c>
      <c r="J12" s="71">
        <f>SUMIFS($J$20:$J$87,$D$20:$D$87,$B12)</f>
        <v>520.08000000000004</v>
      </c>
      <c r="K12" s="71">
        <f>SUMIFS($K$20:$K$87,$D$20:$D$87,$B12)</f>
        <v>18119.11</v>
      </c>
      <c r="M12" s="107">
        <f>G12-'Model - Preopening &amp; Fees'!G138</f>
        <v>0</v>
      </c>
    </row>
    <row r="13" spans="2:19" ht="15.75" customHeight="1" x14ac:dyDescent="0.25">
      <c r="B13" s="73" t="s">
        <v>178</v>
      </c>
      <c r="C13" s="73"/>
      <c r="D13" s="71"/>
      <c r="F13" s="103">
        <f>'Model - Preopening &amp; Fees'!J160</f>
        <v>420000</v>
      </c>
      <c r="G13" s="71">
        <f>SUMIFS($I$20:$I$87,$D$20:$D$87,$B13,$G$20:$G$87,"&lt;="&amp;$D$4)</f>
        <v>266156.25</v>
      </c>
      <c r="H13" s="72">
        <f t="shared" si="0"/>
        <v>153843.75</v>
      </c>
      <c r="I13" s="71">
        <f>SUMIFS($I$20:$I$87,$D$20:$D$87,$B13)</f>
        <v>266156.25</v>
      </c>
      <c r="J13" s="71">
        <f>SUMIFS($J$20:$J$87,$D$20:$D$87,$B13)</f>
        <v>0</v>
      </c>
      <c r="K13" s="71">
        <f>SUMIFS($K$20:$K$87,$D$20:$D$87,$B13)</f>
        <v>266156.25</v>
      </c>
      <c r="M13" s="107">
        <f>G13-'Model - Preopening &amp; Fees'!G160</f>
        <v>0</v>
      </c>
    </row>
    <row r="14" spans="2:19" ht="15.75" customHeight="1" x14ac:dyDescent="0.25">
      <c r="B14" s="74" t="s">
        <v>183</v>
      </c>
      <c r="C14" s="74"/>
      <c r="D14" s="75"/>
      <c r="E14" s="76"/>
      <c r="F14" s="104">
        <f>'Model - Preopening &amp; Fees'!J161</f>
        <v>91624.98</v>
      </c>
      <c r="G14" s="71">
        <f>SUMIFS($I$20:$I$87,$D$20:$D$87,$B14,$G$20:$G$87,"&lt;="&amp;$D$4)</f>
        <v>71960.98</v>
      </c>
      <c r="H14" s="77">
        <f t="shared" si="0"/>
        <v>19664</v>
      </c>
      <c r="I14" s="75">
        <f>SUMIFS($I$20:$I$87,$D$20:$D$87,$B14)</f>
        <v>91624.98</v>
      </c>
      <c r="J14" s="75">
        <f>SUMIFS($J$20:$J$87,$D$20:$D$87,$B14)</f>
        <v>20157.495599999998</v>
      </c>
      <c r="K14" s="75">
        <f>SUMIFS($K$20:$K$87,$D$20:$D$87,$B14)</f>
        <v>111782.47559999999</v>
      </c>
      <c r="M14" s="107">
        <f>G14-'Model - Preopening &amp; Fees'!G161</f>
        <v>0</v>
      </c>
    </row>
    <row r="15" spans="2:19" s="78" customFormat="1" ht="15.75" customHeight="1" x14ac:dyDescent="0.25">
      <c r="B15" s="98" t="s">
        <v>0</v>
      </c>
      <c r="C15" s="98"/>
      <c r="D15" s="80"/>
      <c r="E15" s="79"/>
      <c r="F15" s="80">
        <f>SUM(F7:F14)</f>
        <v>1782771.2166666668</v>
      </c>
      <c r="G15" s="80">
        <f>SUM(G7:G14)</f>
        <v>645783.44999999995</v>
      </c>
      <c r="H15" s="80">
        <f>SUM(H7:H14)</f>
        <v>1136987.7666666668</v>
      </c>
      <c r="I15" s="80">
        <f t="shared" ref="I15:K15" si="6">SUM(I7:I14)</f>
        <v>668483.79999999993</v>
      </c>
      <c r="J15" s="80">
        <f t="shared" si="6"/>
        <v>82358.214399999997</v>
      </c>
      <c r="K15" s="80">
        <f t="shared" si="6"/>
        <v>750842.01439999999</v>
      </c>
      <c r="L15" s="108"/>
      <c r="M15" s="108"/>
    </row>
    <row r="17" spans="2:14" ht="17.25" customHeight="1" x14ac:dyDescent="0.25">
      <c r="B17" s="92" t="s">
        <v>199</v>
      </c>
      <c r="C17" s="92"/>
      <c r="D17" s="92"/>
      <c r="E17" s="92"/>
      <c r="F17" s="92"/>
      <c r="G17" s="92"/>
      <c r="H17" s="92"/>
      <c r="I17" s="91">
        <f>SUM(I20:I87)</f>
        <v>668483.79999999993</v>
      </c>
      <c r="J17" s="91">
        <f>SUM(J20:J87)</f>
        <v>82358.214400000012</v>
      </c>
      <c r="K17" s="91">
        <f>SUM(K20:K87)</f>
        <v>750842.01439999987</v>
      </c>
    </row>
    <row r="18" spans="2:14" ht="8.25" customHeight="1" x14ac:dyDescent="0.25"/>
    <row r="19" spans="2:14" ht="69.75" customHeight="1" x14ac:dyDescent="0.25">
      <c r="B19" s="96" t="s">
        <v>1</v>
      </c>
      <c r="C19" s="93" t="s">
        <v>200</v>
      </c>
      <c r="D19" s="93" t="s">
        <v>201</v>
      </c>
      <c r="E19" s="97" t="s">
        <v>4</v>
      </c>
      <c r="F19" s="97" t="s">
        <v>5</v>
      </c>
      <c r="G19" s="94" t="s">
        <v>2</v>
      </c>
      <c r="H19" s="94" t="s">
        <v>202</v>
      </c>
      <c r="I19" s="94" t="s">
        <v>196</v>
      </c>
      <c r="J19" s="94" t="s">
        <v>197</v>
      </c>
      <c r="K19" s="95" t="s">
        <v>198</v>
      </c>
      <c r="L19" s="109" t="s">
        <v>203</v>
      </c>
      <c r="M19" s="109" t="s">
        <v>204</v>
      </c>
      <c r="N19" s="105"/>
    </row>
    <row r="20" spans="2:14" ht="17.25" customHeight="1" x14ac:dyDescent="0.25">
      <c r="B20" s="81">
        <v>1</v>
      </c>
      <c r="C20" s="137" t="s">
        <v>184</v>
      </c>
      <c r="D20" s="146" t="str">
        <f>IFERROR(INDEX('Model - Preopening &amp; Fees'!$D$11:$D$171,MATCH('Invoices - Preopening'!$C20,'Model - Preopening &amp; Fees'!$B$11:$B$171,0)),0)</f>
        <v>Other Costs - Not In Budget</v>
      </c>
      <c r="E20" s="87" t="s">
        <v>205</v>
      </c>
      <c r="F20" s="82" t="s">
        <v>184</v>
      </c>
      <c r="G20" s="83">
        <v>46112</v>
      </c>
      <c r="H20" s="83">
        <v>46112</v>
      </c>
      <c r="I20" s="147">
        <v>70160.98</v>
      </c>
      <c r="J20" s="84">
        <f>I20*22%</f>
        <v>15435.415599999998</v>
      </c>
      <c r="K20" s="84">
        <f>SUM(I20,J20)</f>
        <v>85596.395599999989</v>
      </c>
      <c r="L20" s="106" t="s">
        <v>191</v>
      </c>
      <c r="M20" s="106" t="s">
        <v>191</v>
      </c>
    </row>
    <row r="21" spans="2:14" ht="17.25" customHeight="1" x14ac:dyDescent="0.25">
      <c r="B21" s="85">
        <f>B20+1</f>
        <v>2</v>
      </c>
      <c r="C21" s="138" t="s">
        <v>274</v>
      </c>
      <c r="D21" s="86" t="str">
        <f>IFERROR(INDEX('Model - Preopening &amp; Fees'!$D$11:$D$171,MATCH('Invoices - Preopening'!$C21,'Model - Preopening &amp; Fees'!$B$11:$B$171,0)),0)</f>
        <v>Other Costs</v>
      </c>
      <c r="E21" s="87" t="s">
        <v>205</v>
      </c>
      <c r="F21" s="87" t="s">
        <v>206</v>
      </c>
      <c r="G21" s="83">
        <v>46022</v>
      </c>
      <c r="H21" s="83">
        <v>46022</v>
      </c>
      <c r="I21" s="114">
        <v>2364</v>
      </c>
      <c r="J21" s="89">
        <f t="shared" ref="J21:J82" si="7">I21*22%</f>
        <v>520.08000000000004</v>
      </c>
      <c r="K21" s="89">
        <f t="shared" ref="K21:K42" si="8">SUM(I21,J21)</f>
        <v>2884.08</v>
      </c>
      <c r="L21" s="106" t="s">
        <v>191</v>
      </c>
      <c r="M21" s="106" t="s">
        <v>191</v>
      </c>
    </row>
    <row r="22" spans="2:14" ht="17.25" customHeight="1" x14ac:dyDescent="0.25">
      <c r="B22" s="85">
        <f t="shared" ref="B22:B85" si="9">B21+1</f>
        <v>3</v>
      </c>
      <c r="C22" s="138" t="s">
        <v>267</v>
      </c>
      <c r="D22" s="86" t="str">
        <f>IFERROR(INDEX('Model - Preopening &amp; Fees'!$D$11:$D$171,MATCH('Invoices - Preopening'!$C22,'Model - Preopening &amp; Fees'!$B$11:$B$171,0)),0)</f>
        <v>HR</v>
      </c>
      <c r="E22" s="87" t="s">
        <v>207</v>
      </c>
      <c r="F22" s="87" t="s">
        <v>208</v>
      </c>
      <c r="G22" s="83">
        <v>46022</v>
      </c>
      <c r="H22" s="83">
        <v>46022</v>
      </c>
      <c r="I22" s="114">
        <v>12000</v>
      </c>
      <c r="J22" s="89">
        <f t="shared" si="7"/>
        <v>2640</v>
      </c>
      <c r="K22" s="89">
        <f t="shared" si="8"/>
        <v>14640</v>
      </c>
      <c r="L22" s="106" t="s">
        <v>191</v>
      </c>
      <c r="M22" s="106" t="s">
        <v>191</v>
      </c>
    </row>
    <row r="23" spans="2:14" ht="17.25" customHeight="1" x14ac:dyDescent="0.25">
      <c r="B23" s="85">
        <f t="shared" si="9"/>
        <v>4</v>
      </c>
      <c r="C23" s="138" t="s">
        <v>265</v>
      </c>
      <c r="D23" s="86" t="str">
        <f>IFERROR(INDEX('Model - Preopening &amp; Fees'!$D$11:$D$171,MATCH('Invoices - Preopening'!$C23,'Model - Preopening &amp; Fees'!$B$11:$B$171,0)),0)</f>
        <v>HR</v>
      </c>
      <c r="E23" s="87" t="s">
        <v>207</v>
      </c>
      <c r="F23" s="87" t="s">
        <v>207</v>
      </c>
      <c r="G23" s="83">
        <v>46112</v>
      </c>
      <c r="H23" s="83">
        <v>46112</v>
      </c>
      <c r="I23" s="114">
        <v>57893</v>
      </c>
      <c r="J23" s="89">
        <f t="shared" si="7"/>
        <v>12736.460000000001</v>
      </c>
      <c r="K23" s="89">
        <f t="shared" si="8"/>
        <v>70629.460000000006</v>
      </c>
      <c r="L23" s="106" t="s">
        <v>191</v>
      </c>
      <c r="M23" s="106" t="s">
        <v>191</v>
      </c>
    </row>
    <row r="24" spans="2:14" ht="17.25" customHeight="1" x14ac:dyDescent="0.25">
      <c r="B24" s="85">
        <f t="shared" si="9"/>
        <v>5</v>
      </c>
      <c r="C24" s="138" t="s">
        <v>266</v>
      </c>
      <c r="D24" s="86" t="str">
        <f>IFERROR(INDEX('Model - Preopening &amp; Fees'!$D$11:$D$171,MATCH('Invoices - Preopening'!$C24,'Model - Preopening &amp; Fees'!$B$11:$B$171,0)),0)</f>
        <v>HR</v>
      </c>
      <c r="E24" s="87" t="s">
        <v>207</v>
      </c>
      <c r="F24" s="87" t="s">
        <v>207</v>
      </c>
      <c r="G24" s="83">
        <v>46112</v>
      </c>
      <c r="H24" s="83">
        <v>46112</v>
      </c>
      <c r="I24" s="114">
        <v>166966</v>
      </c>
      <c r="J24" s="89">
        <f t="shared" si="7"/>
        <v>36732.519999999997</v>
      </c>
      <c r="K24" s="89">
        <f t="shared" si="8"/>
        <v>203698.52</v>
      </c>
      <c r="L24" s="106" t="s">
        <v>191</v>
      </c>
      <c r="M24" s="106" t="s">
        <v>191</v>
      </c>
    </row>
    <row r="25" spans="2:14" ht="17.25" customHeight="1" x14ac:dyDescent="0.25">
      <c r="B25" s="85">
        <f t="shared" si="9"/>
        <v>6</v>
      </c>
      <c r="C25" s="138" t="s">
        <v>260</v>
      </c>
      <c r="D25" s="86" t="str">
        <f>IFERROR(INDEX('Model - Preopening &amp; Fees'!$D$11:$D$171,MATCH('Invoices - Preopening'!$C25,'Model - Preopening &amp; Fees'!$B$11:$B$171,0)),0)</f>
        <v>Legal</v>
      </c>
      <c r="E25" s="87" t="s">
        <v>207</v>
      </c>
      <c r="F25" s="87" t="s">
        <v>209</v>
      </c>
      <c r="G25" s="83">
        <v>46022</v>
      </c>
      <c r="H25" s="83">
        <v>46022</v>
      </c>
      <c r="I25" s="114">
        <v>29500</v>
      </c>
      <c r="J25" s="89">
        <f t="shared" si="7"/>
        <v>6490</v>
      </c>
      <c r="K25" s="89">
        <f t="shared" si="8"/>
        <v>35990</v>
      </c>
      <c r="L25" s="106" t="s">
        <v>191</v>
      </c>
      <c r="M25" s="106" t="s">
        <v>191</v>
      </c>
    </row>
    <row r="26" spans="2:14" ht="17.25" customHeight="1" x14ac:dyDescent="0.25">
      <c r="B26" s="85">
        <f t="shared" si="9"/>
        <v>7</v>
      </c>
      <c r="C26" s="138" t="s">
        <v>297</v>
      </c>
      <c r="D26" s="86" t="str">
        <f>IFERROR(INDEX('Model - Preopening &amp; Fees'!$D$11:$D$171,MATCH('Invoices - Preopening'!$C26,'Model - Preopening &amp; Fees'!$B$11:$B$171,0)),0)</f>
        <v>Other Costs - Not In Budget</v>
      </c>
      <c r="E26" s="87" t="s">
        <v>207</v>
      </c>
      <c r="F26" s="87" t="s">
        <v>209</v>
      </c>
      <c r="G26" s="83">
        <v>46022</v>
      </c>
      <c r="H26" s="83">
        <v>46022</v>
      </c>
      <c r="I26" s="114">
        <v>1800</v>
      </c>
      <c r="J26" s="89">
        <f t="shared" si="7"/>
        <v>396</v>
      </c>
      <c r="K26" s="89">
        <f t="shared" si="8"/>
        <v>2196</v>
      </c>
      <c r="L26" s="106" t="s">
        <v>191</v>
      </c>
      <c r="M26" s="106" t="s">
        <v>191</v>
      </c>
    </row>
    <row r="27" spans="2:14" ht="17.25" customHeight="1" x14ac:dyDescent="0.25">
      <c r="B27" s="85">
        <f t="shared" si="9"/>
        <v>8</v>
      </c>
      <c r="C27" s="138" t="s">
        <v>179</v>
      </c>
      <c r="D27" s="86" t="str">
        <f>IFERROR(INDEX('Model - Preopening &amp; Fees'!$D$11:$D$171,MATCH('Invoices - Preopening'!$C27,'Model - Preopening &amp; Fees'!$B$11:$B$171,0)),0)</f>
        <v>UHG Fees</v>
      </c>
      <c r="E27" s="87" t="s">
        <v>207</v>
      </c>
      <c r="F27" s="87" t="s">
        <v>206</v>
      </c>
      <c r="G27" s="88">
        <v>45688</v>
      </c>
      <c r="H27" s="88">
        <v>45688</v>
      </c>
      <c r="I27" s="114">
        <v>97000</v>
      </c>
      <c r="J27" s="114">
        <v>0</v>
      </c>
      <c r="K27" s="89">
        <f t="shared" si="8"/>
        <v>97000</v>
      </c>
      <c r="L27" s="106" t="s">
        <v>189</v>
      </c>
      <c r="M27" s="106" t="s">
        <v>191</v>
      </c>
    </row>
    <row r="28" spans="2:14" ht="17.25" customHeight="1" x14ac:dyDescent="0.25">
      <c r="B28" s="85">
        <f t="shared" si="9"/>
        <v>9</v>
      </c>
      <c r="C28" s="138" t="s">
        <v>179</v>
      </c>
      <c r="D28" s="86" t="str">
        <f>IFERROR(INDEX('Model - Preopening &amp; Fees'!$D$11:$D$171,MATCH('Invoices - Preopening'!$C28,'Model - Preopening &amp; Fees'!$B$11:$B$171,0)),0)</f>
        <v>UHG Fees</v>
      </c>
      <c r="E28" s="87" t="s">
        <v>207</v>
      </c>
      <c r="F28" s="87" t="s">
        <v>206</v>
      </c>
      <c r="G28" s="88">
        <v>45777</v>
      </c>
      <c r="H28" s="88">
        <v>45777</v>
      </c>
      <c r="I28" s="114">
        <v>97000</v>
      </c>
      <c r="J28" s="114">
        <v>0</v>
      </c>
      <c r="K28" s="89">
        <f t="shared" si="8"/>
        <v>97000</v>
      </c>
      <c r="L28" s="106" t="s">
        <v>189</v>
      </c>
      <c r="M28" s="106" t="s">
        <v>191</v>
      </c>
    </row>
    <row r="29" spans="2:14" ht="17.25" customHeight="1" x14ac:dyDescent="0.25">
      <c r="B29" s="85">
        <f t="shared" si="9"/>
        <v>10</v>
      </c>
      <c r="C29" s="138" t="s">
        <v>179</v>
      </c>
      <c r="D29" s="86" t="str">
        <f>IFERROR(INDEX('Model - Preopening &amp; Fees'!$D$11:$D$171,MATCH('Invoices - Preopening'!$C29,'Model - Preopening &amp; Fees'!$B$11:$B$171,0)),0)</f>
        <v>UHG Fees</v>
      </c>
      <c r="E29" s="87" t="s">
        <v>207</v>
      </c>
      <c r="F29" s="87" t="s">
        <v>206</v>
      </c>
      <c r="G29" s="88">
        <v>46053</v>
      </c>
      <c r="H29" s="88">
        <v>46053</v>
      </c>
      <c r="I29" s="148">
        <v>11750</v>
      </c>
      <c r="J29" s="114">
        <v>0</v>
      </c>
      <c r="K29" s="89">
        <f t="shared" si="8"/>
        <v>11750</v>
      </c>
      <c r="L29" s="106" t="s">
        <v>189</v>
      </c>
      <c r="M29" s="106" t="s">
        <v>191</v>
      </c>
    </row>
    <row r="30" spans="2:14" ht="17.25" customHeight="1" x14ac:dyDescent="0.25">
      <c r="B30" s="85">
        <f t="shared" si="9"/>
        <v>11</v>
      </c>
      <c r="C30" s="138" t="s">
        <v>179</v>
      </c>
      <c r="D30" s="86" t="str">
        <f>IFERROR(INDEX('Model - Preopening &amp; Fees'!$D$11:$D$171,MATCH('Invoices - Preopening'!$C30,'Model - Preopening &amp; Fees'!$B$11:$B$171,0)),0)</f>
        <v>UHG Fees</v>
      </c>
      <c r="E30" s="87" t="s">
        <v>207</v>
      </c>
      <c r="F30" s="87" t="s">
        <v>206</v>
      </c>
      <c r="G30" s="88">
        <f>EOMONTH(G29,1)</f>
        <v>46081</v>
      </c>
      <c r="H30" s="88">
        <f>EOMONTH(H29,1)</f>
        <v>46081</v>
      </c>
      <c r="I30" s="148">
        <v>11750</v>
      </c>
      <c r="J30" s="114">
        <v>0</v>
      </c>
      <c r="K30" s="89">
        <f t="shared" si="8"/>
        <v>11750</v>
      </c>
      <c r="L30" s="106" t="s">
        <v>189</v>
      </c>
      <c r="M30" s="106" t="s">
        <v>191</v>
      </c>
    </row>
    <row r="31" spans="2:14" ht="17.25" customHeight="1" x14ac:dyDescent="0.25">
      <c r="B31" s="85">
        <f t="shared" si="9"/>
        <v>12</v>
      </c>
      <c r="C31" s="138" t="s">
        <v>179</v>
      </c>
      <c r="D31" s="86" t="str">
        <f>IFERROR(INDEX('Model - Preopening &amp; Fees'!$D$11:$D$171,MATCH('Invoices - Preopening'!$C31,'Model - Preopening &amp; Fees'!$B$11:$B$171,0)),0)</f>
        <v>UHG Fees</v>
      </c>
      <c r="E31" s="87" t="s">
        <v>207</v>
      </c>
      <c r="F31" s="87" t="s">
        <v>206</v>
      </c>
      <c r="G31" s="88">
        <f t="shared" ref="G31:H34" si="10">EOMONTH(G30,1)</f>
        <v>46112</v>
      </c>
      <c r="H31" s="88">
        <f t="shared" si="10"/>
        <v>46112</v>
      </c>
      <c r="I31" s="148">
        <v>11750</v>
      </c>
      <c r="J31" s="114">
        <v>0</v>
      </c>
      <c r="K31" s="89">
        <f t="shared" si="8"/>
        <v>11750</v>
      </c>
      <c r="L31" s="106" t="s">
        <v>189</v>
      </c>
      <c r="M31" s="106" t="s">
        <v>191</v>
      </c>
    </row>
    <row r="32" spans="2:14" ht="17.25" customHeight="1" x14ac:dyDescent="0.25">
      <c r="B32" s="85">
        <f t="shared" si="9"/>
        <v>13</v>
      </c>
      <c r="C32" s="138" t="s">
        <v>179</v>
      </c>
      <c r="D32" s="86" t="str">
        <f>IFERROR(INDEX('Model - Preopening &amp; Fees'!$D$11:$D$171,MATCH('Invoices - Preopening'!$C32,'Model - Preopening &amp; Fees'!$B$11:$B$171,0)),0)</f>
        <v>UHG Fees</v>
      </c>
      <c r="E32" s="87" t="s">
        <v>207</v>
      </c>
      <c r="F32" s="87" t="s">
        <v>206</v>
      </c>
      <c r="G32" s="88">
        <f t="shared" si="10"/>
        <v>46142</v>
      </c>
      <c r="H32" s="88">
        <f t="shared" si="10"/>
        <v>46142</v>
      </c>
      <c r="I32" s="148">
        <v>11750</v>
      </c>
      <c r="J32" s="114">
        <v>0</v>
      </c>
      <c r="K32" s="89">
        <f t="shared" si="8"/>
        <v>11750</v>
      </c>
      <c r="L32" s="106" t="s">
        <v>189</v>
      </c>
      <c r="M32" s="106" t="s">
        <v>191</v>
      </c>
    </row>
    <row r="33" spans="2:14" ht="17.25" customHeight="1" x14ac:dyDescent="0.25">
      <c r="B33" s="85">
        <f t="shared" si="9"/>
        <v>14</v>
      </c>
      <c r="C33" s="138" t="s">
        <v>179</v>
      </c>
      <c r="D33" s="86" t="str">
        <f>IFERROR(INDEX('Model - Preopening &amp; Fees'!$D$11:$D$171,MATCH('Invoices - Preopening'!$C33,'Model - Preopening &amp; Fees'!$B$11:$B$171,0)),0)</f>
        <v>UHG Fees</v>
      </c>
      <c r="E33" s="87" t="s">
        <v>207</v>
      </c>
      <c r="F33" s="87" t="s">
        <v>206</v>
      </c>
      <c r="G33" s="88">
        <f t="shared" si="10"/>
        <v>46173</v>
      </c>
      <c r="H33" s="88">
        <f t="shared" si="10"/>
        <v>46173</v>
      </c>
      <c r="I33" s="148">
        <v>11750</v>
      </c>
      <c r="J33" s="114">
        <v>0</v>
      </c>
      <c r="K33" s="89">
        <f t="shared" si="8"/>
        <v>11750</v>
      </c>
      <c r="L33" s="106" t="s">
        <v>189</v>
      </c>
      <c r="M33" s="106" t="s">
        <v>191</v>
      </c>
    </row>
    <row r="34" spans="2:14" ht="17.25" customHeight="1" x14ac:dyDescent="0.25">
      <c r="B34" s="85">
        <f t="shared" si="9"/>
        <v>15</v>
      </c>
      <c r="C34" s="138" t="s">
        <v>179</v>
      </c>
      <c r="D34" s="86" t="str">
        <f>IFERROR(INDEX('Model - Preopening &amp; Fees'!$D$11:$D$171,MATCH('Invoices - Preopening'!$C34,'Model - Preopening &amp; Fees'!$B$11:$B$171,0)),0)</f>
        <v>UHG Fees</v>
      </c>
      <c r="E34" s="87" t="s">
        <v>207</v>
      </c>
      <c r="F34" s="87" t="s">
        <v>206</v>
      </c>
      <c r="G34" s="88">
        <f t="shared" si="10"/>
        <v>46203</v>
      </c>
      <c r="H34" s="88">
        <f t="shared" si="10"/>
        <v>46203</v>
      </c>
      <c r="I34" s="148">
        <v>13406.25</v>
      </c>
      <c r="J34" s="114">
        <v>0</v>
      </c>
      <c r="K34" s="89">
        <f t="shared" si="8"/>
        <v>13406.25</v>
      </c>
      <c r="L34" s="106" t="s">
        <v>189</v>
      </c>
      <c r="M34" s="106" t="s">
        <v>191</v>
      </c>
    </row>
    <row r="35" spans="2:14" ht="17.25" customHeight="1" x14ac:dyDescent="0.25">
      <c r="B35" s="85">
        <f t="shared" si="9"/>
        <v>16</v>
      </c>
      <c r="C35" s="138" t="s">
        <v>179</v>
      </c>
      <c r="D35" s="86" t="str">
        <f>IFERROR(INDEX('Model - Preopening &amp; Fees'!$D$11:$D$171,MATCH('Invoices - Preopening'!$C35,'Model - Preopening &amp; Fees'!$B$11:$B$171,0)),0)</f>
        <v>UHG Fees</v>
      </c>
      <c r="E35" s="87" t="s">
        <v>207</v>
      </c>
      <c r="F35" s="87" t="s">
        <v>206</v>
      </c>
      <c r="G35" s="88" t="s">
        <v>210</v>
      </c>
      <c r="H35" s="88" t="s">
        <v>210</v>
      </c>
      <c r="I35" s="114">
        <v>0</v>
      </c>
      <c r="J35" s="89">
        <f t="shared" si="7"/>
        <v>0</v>
      </c>
      <c r="K35" s="89">
        <f t="shared" si="8"/>
        <v>0</v>
      </c>
      <c r="L35" s="106" t="s">
        <v>191</v>
      </c>
      <c r="M35" s="106" t="s">
        <v>191</v>
      </c>
    </row>
    <row r="36" spans="2:14" ht="17.25" customHeight="1" x14ac:dyDescent="0.25">
      <c r="B36" s="85">
        <f t="shared" si="9"/>
        <v>17</v>
      </c>
      <c r="C36" s="138" t="s">
        <v>179</v>
      </c>
      <c r="D36" s="86" t="str">
        <f>IFERROR(INDEX('Model - Preopening &amp; Fees'!$D$11:$D$171,MATCH('Invoices - Preopening'!$C36,'Model - Preopening &amp; Fees'!$B$11:$B$171,0)),0)</f>
        <v>UHG Fees</v>
      </c>
      <c r="E36" s="87" t="s">
        <v>207</v>
      </c>
      <c r="F36" s="87" t="s">
        <v>206</v>
      </c>
      <c r="G36" s="88" t="s">
        <v>210</v>
      </c>
      <c r="H36" s="88" t="s">
        <v>210</v>
      </c>
      <c r="I36" s="114">
        <v>0</v>
      </c>
      <c r="J36" s="89">
        <f t="shared" si="7"/>
        <v>0</v>
      </c>
      <c r="K36" s="89">
        <f t="shared" si="8"/>
        <v>0</v>
      </c>
      <c r="L36" s="106" t="s">
        <v>191</v>
      </c>
      <c r="M36" s="106" t="s">
        <v>191</v>
      </c>
    </row>
    <row r="37" spans="2:14" ht="17.25" customHeight="1" x14ac:dyDescent="0.25">
      <c r="B37" s="85">
        <f t="shared" si="9"/>
        <v>18</v>
      </c>
      <c r="C37" s="138" t="s">
        <v>179</v>
      </c>
      <c r="D37" s="86" t="str">
        <f>IFERROR(INDEX('Model - Preopening &amp; Fees'!$D$11:$D$171,MATCH('Invoices - Preopening'!$C37,'Model - Preopening &amp; Fees'!$B$11:$B$171,0)),0)</f>
        <v>UHG Fees</v>
      </c>
      <c r="E37" s="87" t="s">
        <v>207</v>
      </c>
      <c r="F37" s="87" t="s">
        <v>206</v>
      </c>
      <c r="G37" s="88" t="s">
        <v>210</v>
      </c>
      <c r="H37" s="88" t="s">
        <v>210</v>
      </c>
      <c r="I37" s="114">
        <v>0</v>
      </c>
      <c r="J37" s="89">
        <f t="shared" si="7"/>
        <v>0</v>
      </c>
      <c r="K37" s="89">
        <f t="shared" si="8"/>
        <v>0</v>
      </c>
      <c r="L37" s="106" t="s">
        <v>191</v>
      </c>
      <c r="M37" s="106" t="s">
        <v>191</v>
      </c>
    </row>
    <row r="38" spans="2:14" ht="17.25" customHeight="1" x14ac:dyDescent="0.25">
      <c r="B38" s="85">
        <f t="shared" si="9"/>
        <v>19</v>
      </c>
      <c r="C38" s="138" t="s">
        <v>234</v>
      </c>
      <c r="D38" s="86" t="str">
        <f>IFERROR(INDEX('Model - Preopening &amp; Fees'!$D$11:$D$171,MATCH('Invoices - Preopening'!$C38,'Model - Preopening &amp; Fees'!$B$11:$B$171,0)),0)</f>
        <v>Marketing</v>
      </c>
      <c r="E38" s="87" t="s">
        <v>207</v>
      </c>
      <c r="F38" s="87" t="s">
        <v>19</v>
      </c>
      <c r="G38" s="83">
        <v>46022</v>
      </c>
      <c r="H38" s="83">
        <v>46022</v>
      </c>
      <c r="I38" s="114">
        <v>1000</v>
      </c>
      <c r="J38" s="89">
        <f t="shared" si="7"/>
        <v>220</v>
      </c>
      <c r="K38" s="89">
        <f t="shared" si="8"/>
        <v>1220</v>
      </c>
      <c r="L38" s="106" t="s">
        <v>191</v>
      </c>
      <c r="M38" s="106" t="s">
        <v>191</v>
      </c>
    </row>
    <row r="39" spans="2:14" ht="17.25" customHeight="1" x14ac:dyDescent="0.25">
      <c r="B39" s="85">
        <f t="shared" si="9"/>
        <v>20</v>
      </c>
      <c r="C39" s="138" t="s">
        <v>175</v>
      </c>
      <c r="D39" s="86" t="str">
        <f>IFERROR(INDEX('Model - Preopening &amp; Fees'!$D$11:$D$171,MATCH('Invoices - Preopening'!$C39,'Model - Preopening &amp; Fees'!$B$11:$B$171,0)),0)</f>
        <v>Other Costs</v>
      </c>
      <c r="E39" s="87" t="s">
        <v>207</v>
      </c>
      <c r="F39" s="87" t="s">
        <v>212</v>
      </c>
      <c r="G39" s="83">
        <v>46151</v>
      </c>
      <c r="H39" s="83">
        <v>46151</v>
      </c>
      <c r="I39" s="114">
        <v>8835.0300000000007</v>
      </c>
      <c r="J39" s="89">
        <v>0</v>
      </c>
      <c r="K39" s="89">
        <f t="shared" si="8"/>
        <v>8835.0300000000007</v>
      </c>
      <c r="L39" s="106" t="s">
        <v>191</v>
      </c>
      <c r="M39" s="106" t="s">
        <v>191</v>
      </c>
    </row>
    <row r="40" spans="2:14" ht="17.25" customHeight="1" x14ac:dyDescent="0.25">
      <c r="B40" s="85">
        <f t="shared" si="9"/>
        <v>21</v>
      </c>
      <c r="C40" s="138" t="s">
        <v>175</v>
      </c>
      <c r="D40" s="86" t="str">
        <f>IFERROR(INDEX('Model - Preopening &amp; Fees'!$D$11:$D$171,MATCH('Invoices - Preopening'!$C40,'Model - Preopening &amp; Fees'!$B$11:$B$171,0)),0)</f>
        <v>Other Costs</v>
      </c>
      <c r="E40" s="87" t="s">
        <v>207</v>
      </c>
      <c r="F40" s="87" t="s">
        <v>212</v>
      </c>
      <c r="G40" s="83">
        <v>46176</v>
      </c>
      <c r="H40" s="83">
        <v>46176</v>
      </c>
      <c r="I40" s="114">
        <v>6400</v>
      </c>
      <c r="J40" s="89">
        <v>0</v>
      </c>
      <c r="K40" s="89">
        <f t="shared" si="8"/>
        <v>6400</v>
      </c>
      <c r="L40" s="106" t="s">
        <v>191</v>
      </c>
      <c r="M40" s="106" t="s">
        <v>191</v>
      </c>
    </row>
    <row r="41" spans="2:14" ht="17.25" customHeight="1" x14ac:dyDescent="0.25">
      <c r="B41" s="85">
        <f t="shared" si="9"/>
        <v>22</v>
      </c>
      <c r="C41" s="138" t="s">
        <v>254</v>
      </c>
      <c r="D41" s="86" t="str">
        <f>IFERROR(INDEX('Model - Preopening &amp; Fees'!$D$11:$D$171,MATCH('Invoices - Preopening'!$C41,'Model - Preopening &amp; Fees'!$B$11:$B$171,0)),0)</f>
        <v>HR</v>
      </c>
      <c r="E41" s="87" t="s">
        <v>207</v>
      </c>
      <c r="F41" s="87" t="s">
        <v>213</v>
      </c>
      <c r="G41" s="88">
        <v>46203</v>
      </c>
      <c r="H41" s="88">
        <v>46203</v>
      </c>
      <c r="I41" s="114">
        <v>2000</v>
      </c>
      <c r="J41" s="89">
        <f t="shared" si="7"/>
        <v>440</v>
      </c>
      <c r="K41" s="89">
        <f t="shared" si="8"/>
        <v>2440</v>
      </c>
      <c r="L41" s="106" t="s">
        <v>191</v>
      </c>
      <c r="M41" s="106" t="s">
        <v>191</v>
      </c>
    </row>
    <row r="42" spans="2:14" ht="17.25" customHeight="1" x14ac:dyDescent="0.25">
      <c r="B42" s="85">
        <f t="shared" si="9"/>
        <v>23</v>
      </c>
      <c r="C42" s="138" t="s">
        <v>307</v>
      </c>
      <c r="D42" s="86" t="str">
        <f>IFERROR(INDEX('Model - Preopening &amp; Fees'!$D$11:$D$171,MATCH('Invoices - Preopening'!$C42,'Model - Preopening &amp; Fees'!$B$11:$B$171,0)),0)</f>
        <v>HR</v>
      </c>
      <c r="E42" s="87" t="s">
        <v>207</v>
      </c>
      <c r="F42" s="87" t="s">
        <v>207</v>
      </c>
      <c r="G42" s="88">
        <v>46142</v>
      </c>
      <c r="H42" s="88">
        <v>46142</v>
      </c>
      <c r="I42" s="114">
        <v>4245.666666666667</v>
      </c>
      <c r="J42" s="114">
        <v>0</v>
      </c>
      <c r="K42" s="89">
        <f t="shared" si="8"/>
        <v>4245.666666666667</v>
      </c>
      <c r="L42" s="106" t="s">
        <v>191</v>
      </c>
      <c r="M42" s="106" t="s">
        <v>191</v>
      </c>
      <c r="N42" s="118" t="s">
        <v>214</v>
      </c>
    </row>
    <row r="43" spans="2:14" ht="17.25" customHeight="1" x14ac:dyDescent="0.25">
      <c r="B43" s="85">
        <f t="shared" si="9"/>
        <v>24</v>
      </c>
      <c r="C43" s="138" t="s">
        <v>307</v>
      </c>
      <c r="D43" s="86" t="str">
        <f>IFERROR(INDEX('Model - Preopening &amp; Fees'!$D$11:$D$171,MATCH('Invoices - Preopening'!$C43,'Model - Preopening &amp; Fees'!$B$11:$B$171,0)),0)</f>
        <v>HR</v>
      </c>
      <c r="E43" s="87" t="s">
        <v>207</v>
      </c>
      <c r="F43" s="87" t="s">
        <v>207</v>
      </c>
      <c r="G43" s="88">
        <f>EOMONTH(G42,1)</f>
        <v>46173</v>
      </c>
      <c r="H43" s="88">
        <f>EOMONTH(H42,1)</f>
        <v>46173</v>
      </c>
      <c r="I43" s="114">
        <v>4245.666666666667</v>
      </c>
      <c r="J43" s="114">
        <v>0</v>
      </c>
      <c r="K43" s="89">
        <f t="shared" ref="K43:K87" si="11">SUM(I43,J43)</f>
        <v>4245.666666666667</v>
      </c>
      <c r="L43" s="106" t="s">
        <v>191</v>
      </c>
      <c r="M43" s="106" t="s">
        <v>191</v>
      </c>
    </row>
    <row r="44" spans="2:14" ht="17.25" customHeight="1" x14ac:dyDescent="0.25">
      <c r="B44" s="85">
        <f t="shared" si="9"/>
        <v>25</v>
      </c>
      <c r="C44" s="138" t="s">
        <v>307</v>
      </c>
      <c r="D44" s="86" t="str">
        <f>IFERROR(INDEX('Model - Preopening &amp; Fees'!$D$11:$D$171,MATCH('Invoices - Preopening'!$C44,'Model - Preopening &amp; Fees'!$B$11:$B$171,0)),0)</f>
        <v>HR</v>
      </c>
      <c r="E44" s="87" t="s">
        <v>207</v>
      </c>
      <c r="F44" s="87" t="s">
        <v>207</v>
      </c>
      <c r="G44" s="88">
        <f>EOMONTH(G43,1)</f>
        <v>46203</v>
      </c>
      <c r="H44" s="88">
        <f>EOMONTH(H43,1)</f>
        <v>46203</v>
      </c>
      <c r="I44" s="114">
        <v>4245.666666666667</v>
      </c>
      <c r="J44" s="114">
        <v>0</v>
      </c>
      <c r="K44" s="89">
        <f t="shared" si="11"/>
        <v>4245.666666666667</v>
      </c>
      <c r="L44" s="106" t="s">
        <v>191</v>
      </c>
      <c r="M44" s="106" t="s">
        <v>191</v>
      </c>
    </row>
    <row r="45" spans="2:14" ht="17.25" customHeight="1" x14ac:dyDescent="0.25">
      <c r="B45" s="85">
        <f t="shared" si="9"/>
        <v>26</v>
      </c>
      <c r="C45" s="138" t="s">
        <v>242</v>
      </c>
      <c r="D45" s="86" t="str">
        <f>IFERROR(INDEX('Model - Preopening &amp; Fees'!$D$11:$D$171,MATCH('Invoices - Preopening'!$C45,'Model - Preopening &amp; Fees'!$B$11:$B$171,0)),0)</f>
        <v>Legal</v>
      </c>
      <c r="E45" s="87" t="s">
        <v>207</v>
      </c>
      <c r="F45" s="87" t="s">
        <v>209</v>
      </c>
      <c r="G45" s="88">
        <v>46092</v>
      </c>
      <c r="H45" s="88">
        <v>46092</v>
      </c>
      <c r="I45" s="149">
        <v>6835.5</v>
      </c>
      <c r="J45" s="89">
        <f t="shared" si="7"/>
        <v>1503.81</v>
      </c>
      <c r="K45" s="89">
        <f t="shared" si="11"/>
        <v>8339.31</v>
      </c>
      <c r="L45" s="106" t="s">
        <v>191</v>
      </c>
      <c r="M45" s="106" t="s">
        <v>191</v>
      </c>
    </row>
    <row r="46" spans="2:14" ht="17.25" customHeight="1" x14ac:dyDescent="0.25">
      <c r="B46" s="85">
        <f t="shared" si="9"/>
        <v>27</v>
      </c>
      <c r="C46" s="138" t="s">
        <v>128</v>
      </c>
      <c r="D46" s="86" t="str">
        <f>IFERROR(INDEX('Model - Preopening &amp; Fees'!$D$11:$D$171,MATCH('Invoices - Preopening'!$C46,'Model - Preopening &amp; Fees'!$B$11:$B$171,0)),0)</f>
        <v>Marketing</v>
      </c>
      <c r="E46" s="87" t="s">
        <v>207</v>
      </c>
      <c r="F46" s="87" t="s">
        <v>207</v>
      </c>
      <c r="G46" s="88" t="s">
        <v>210</v>
      </c>
      <c r="H46" s="88" t="s">
        <v>210</v>
      </c>
      <c r="I46" s="114">
        <v>0</v>
      </c>
      <c r="J46" s="89">
        <f t="shared" si="7"/>
        <v>0</v>
      </c>
      <c r="K46" s="89">
        <f t="shared" si="11"/>
        <v>0</v>
      </c>
      <c r="L46" s="106" t="s">
        <v>191</v>
      </c>
      <c r="M46" s="106" t="s">
        <v>191</v>
      </c>
    </row>
    <row r="47" spans="2:14" ht="17.25" customHeight="1" x14ac:dyDescent="0.25">
      <c r="B47" s="85">
        <f t="shared" si="9"/>
        <v>28</v>
      </c>
      <c r="C47" s="138" t="s">
        <v>151</v>
      </c>
      <c r="D47" s="86" t="str">
        <f>IFERROR(INDEX('Model - Preopening &amp; Fees'!$D$11:$D$171,MATCH('Invoices - Preopening'!$C47,'Model - Preopening &amp; Fees'!$B$11:$B$171,0)),0)</f>
        <v>HR</v>
      </c>
      <c r="E47" s="87" t="s">
        <v>207</v>
      </c>
      <c r="F47" s="87" t="s">
        <v>215</v>
      </c>
      <c r="G47" s="88">
        <v>46092</v>
      </c>
      <c r="H47" s="88">
        <v>46092</v>
      </c>
      <c r="I47" s="114">
        <v>180.98</v>
      </c>
      <c r="J47" s="89">
        <f t="shared" si="7"/>
        <v>39.815599999999996</v>
      </c>
      <c r="K47" s="89">
        <f t="shared" si="11"/>
        <v>220.79559999999998</v>
      </c>
      <c r="L47" s="106" t="s">
        <v>189</v>
      </c>
      <c r="M47" s="106" t="s">
        <v>191</v>
      </c>
    </row>
    <row r="48" spans="2:14" ht="17.25" customHeight="1" x14ac:dyDescent="0.25">
      <c r="B48" s="85">
        <f t="shared" si="9"/>
        <v>29</v>
      </c>
      <c r="C48" s="138" t="s">
        <v>151</v>
      </c>
      <c r="D48" s="86" t="str">
        <f>IFERROR(INDEX('Model - Preopening &amp; Fees'!$D$11:$D$171,MATCH('Invoices - Preopening'!$C48,'Model - Preopening &amp; Fees'!$B$11:$B$171,0)),0)</f>
        <v>HR</v>
      </c>
      <c r="E48" s="87" t="s">
        <v>207</v>
      </c>
      <c r="F48" s="87" t="s">
        <v>216</v>
      </c>
      <c r="G48" s="88">
        <v>46092</v>
      </c>
      <c r="H48" s="88">
        <v>46092</v>
      </c>
      <c r="I48" s="114">
        <v>107.81</v>
      </c>
      <c r="J48" s="89">
        <f t="shared" si="7"/>
        <v>23.7182</v>
      </c>
      <c r="K48" s="89">
        <f t="shared" si="11"/>
        <v>131.5282</v>
      </c>
      <c r="L48" s="106" t="s">
        <v>189</v>
      </c>
      <c r="M48" s="106" t="s">
        <v>191</v>
      </c>
    </row>
    <row r="49" spans="2:13" ht="17.25" customHeight="1" x14ac:dyDescent="0.25">
      <c r="B49" s="85">
        <f t="shared" si="9"/>
        <v>30</v>
      </c>
      <c r="C49" s="138" t="s">
        <v>156</v>
      </c>
      <c r="D49" s="86" t="str">
        <f>IFERROR(INDEX('Model - Preopening &amp; Fees'!$D$11:$D$171,MATCH('Invoices - Preopening'!$C49,'Model - Preopening &amp; Fees'!$B$11:$B$171,0)),0)</f>
        <v>HR</v>
      </c>
      <c r="E49" s="87" t="s">
        <v>207</v>
      </c>
      <c r="F49" s="87" t="s">
        <v>215</v>
      </c>
      <c r="G49" s="88">
        <v>46171</v>
      </c>
      <c r="H49" s="88">
        <v>46171</v>
      </c>
      <c r="I49" s="114">
        <v>495.8</v>
      </c>
      <c r="J49" s="89">
        <f t="shared" si="7"/>
        <v>109.07600000000001</v>
      </c>
      <c r="K49" s="89">
        <f t="shared" si="11"/>
        <v>604.87599999999998</v>
      </c>
      <c r="L49" s="106" t="s">
        <v>189</v>
      </c>
      <c r="M49" s="106" t="s">
        <v>191</v>
      </c>
    </row>
    <row r="50" spans="2:13" ht="17.25" customHeight="1" x14ac:dyDescent="0.25">
      <c r="B50" s="85">
        <f t="shared" si="9"/>
        <v>31</v>
      </c>
      <c r="C50" s="138" t="s">
        <v>156</v>
      </c>
      <c r="D50" s="86" t="str">
        <f>IFERROR(INDEX('Model - Preopening &amp; Fees'!$D$11:$D$171,MATCH('Invoices - Preopening'!$C50,'Model - Preopening &amp; Fees'!$B$11:$B$171,0)),0)</f>
        <v>HR</v>
      </c>
      <c r="E50" s="87" t="s">
        <v>207</v>
      </c>
      <c r="F50" s="87" t="s">
        <v>215</v>
      </c>
      <c r="G50" s="88">
        <v>46171</v>
      </c>
      <c r="H50" s="88">
        <v>46171</v>
      </c>
      <c r="I50" s="114">
        <v>294</v>
      </c>
      <c r="J50" s="89">
        <f t="shared" si="7"/>
        <v>64.680000000000007</v>
      </c>
      <c r="K50" s="89">
        <f t="shared" si="11"/>
        <v>358.68</v>
      </c>
      <c r="L50" s="106" t="s">
        <v>189</v>
      </c>
      <c r="M50" s="106" t="s">
        <v>191</v>
      </c>
    </row>
    <row r="51" spans="2:13" ht="17.25" customHeight="1" x14ac:dyDescent="0.25">
      <c r="B51" s="85">
        <f t="shared" si="9"/>
        <v>32</v>
      </c>
      <c r="C51" s="138" t="s">
        <v>266</v>
      </c>
      <c r="D51" s="86" t="str">
        <f>IFERROR(INDEX('Model - Preopening &amp; Fees'!$D$11:$D$171,MATCH('Invoices - Preopening'!$C51,'Model - Preopening &amp; Fees'!$B$11:$B$171,0)),0)</f>
        <v>HR</v>
      </c>
      <c r="E51" s="87" t="s">
        <v>207</v>
      </c>
      <c r="F51" s="87" t="s">
        <v>217</v>
      </c>
      <c r="G51" s="88">
        <v>46205</v>
      </c>
      <c r="H51" s="88">
        <v>46211</v>
      </c>
      <c r="I51" s="114">
        <v>3036.35</v>
      </c>
      <c r="J51" s="89">
        <f t="shared" si="7"/>
        <v>667.99699999999996</v>
      </c>
      <c r="K51" s="89">
        <f t="shared" si="11"/>
        <v>3704.3469999999998</v>
      </c>
      <c r="L51" s="106" t="s">
        <v>191</v>
      </c>
      <c r="M51" s="106" t="s">
        <v>191</v>
      </c>
    </row>
    <row r="52" spans="2:13" ht="17.25" customHeight="1" x14ac:dyDescent="0.25">
      <c r="B52" s="85">
        <f t="shared" si="9"/>
        <v>33</v>
      </c>
      <c r="C52" s="138" t="s">
        <v>151</v>
      </c>
      <c r="D52" s="86" t="str">
        <f>IFERROR(INDEX('Model - Preopening &amp; Fees'!$D$11:$D$171,MATCH('Invoices - Preopening'!$C52,'Model - Preopening &amp; Fees'!$B$11:$B$171,0)),0)</f>
        <v>HR</v>
      </c>
      <c r="E52" s="87" t="s">
        <v>207</v>
      </c>
      <c r="F52" s="87" t="s">
        <v>218</v>
      </c>
      <c r="G52" s="88">
        <v>46203</v>
      </c>
      <c r="H52" s="88">
        <v>46203</v>
      </c>
      <c r="I52" s="114">
        <v>8.1</v>
      </c>
      <c r="J52" s="89">
        <f t="shared" si="7"/>
        <v>1.782</v>
      </c>
      <c r="K52" s="89">
        <f t="shared" si="11"/>
        <v>9.8819999999999997</v>
      </c>
      <c r="L52" s="106" t="s">
        <v>189</v>
      </c>
      <c r="M52" s="106" t="s">
        <v>191</v>
      </c>
    </row>
    <row r="53" spans="2:13" ht="17.25" customHeight="1" x14ac:dyDescent="0.25">
      <c r="B53" s="85">
        <f t="shared" si="9"/>
        <v>34</v>
      </c>
      <c r="C53" s="138" t="s">
        <v>151</v>
      </c>
      <c r="D53" s="86" t="str">
        <f>IFERROR(INDEX('Model - Preopening &amp; Fees'!$D$11:$D$171,MATCH('Invoices - Preopening'!$C53,'Model - Preopening &amp; Fees'!$B$11:$B$171,0)),0)</f>
        <v>HR</v>
      </c>
      <c r="E53" s="87" t="s">
        <v>207</v>
      </c>
      <c r="F53" s="87" t="s">
        <v>219</v>
      </c>
      <c r="G53" s="88">
        <v>46203</v>
      </c>
      <c r="H53" s="88">
        <v>46203</v>
      </c>
      <c r="I53" s="114">
        <v>49</v>
      </c>
      <c r="J53" s="89">
        <f t="shared" si="7"/>
        <v>10.78</v>
      </c>
      <c r="K53" s="89">
        <f t="shared" si="11"/>
        <v>59.78</v>
      </c>
      <c r="L53" s="106" t="s">
        <v>189</v>
      </c>
      <c r="M53" s="106" t="s">
        <v>191</v>
      </c>
    </row>
    <row r="54" spans="2:13" ht="17.25" customHeight="1" x14ac:dyDescent="0.25">
      <c r="B54" s="85">
        <f t="shared" si="9"/>
        <v>35</v>
      </c>
      <c r="C54" s="138" t="s">
        <v>298</v>
      </c>
      <c r="D54" s="86" t="str">
        <f>IFERROR(INDEX('Model - Preopening &amp; Fees'!$D$11:$D$171,MATCH('Invoices - Preopening'!$C54,'Model - Preopening &amp; Fees'!$B$11:$B$171,0)),0)</f>
        <v>Other Costs - Not In Budget</v>
      </c>
      <c r="E54" s="87" t="s">
        <v>207</v>
      </c>
      <c r="F54" s="87" t="s">
        <v>209</v>
      </c>
      <c r="G54" s="88">
        <v>46234</v>
      </c>
      <c r="H54" s="88">
        <v>46234</v>
      </c>
      <c r="I54" s="114">
        <v>17164</v>
      </c>
      <c r="J54" s="89">
        <f t="shared" si="7"/>
        <v>3776.08</v>
      </c>
      <c r="K54" s="89">
        <f t="shared" si="11"/>
        <v>20940.080000000002</v>
      </c>
      <c r="L54" s="106" t="s">
        <v>191</v>
      </c>
      <c r="M54" s="106" t="s">
        <v>191</v>
      </c>
    </row>
    <row r="55" spans="2:13" ht="17.25" customHeight="1" x14ac:dyDescent="0.25">
      <c r="B55" s="85">
        <f t="shared" si="9"/>
        <v>36</v>
      </c>
      <c r="C55" s="138" t="s">
        <v>300</v>
      </c>
      <c r="D55" s="86" t="str">
        <f>IFERROR(INDEX('Model - Preopening &amp; Fees'!$D$11:$D$171,MATCH('Invoices - Preopening'!$C55,'Model - Preopening &amp; Fees'!$B$11:$B$171,0)),0)</f>
        <v>Other Costs - Not In Budget</v>
      </c>
      <c r="E55" s="87" t="s">
        <v>207</v>
      </c>
      <c r="F55" s="87" t="s">
        <v>209</v>
      </c>
      <c r="G55" s="88">
        <v>46234</v>
      </c>
      <c r="H55" s="88">
        <v>46234</v>
      </c>
      <c r="I55" s="114">
        <v>2500</v>
      </c>
      <c r="J55" s="89">
        <f t="shared" si="7"/>
        <v>550</v>
      </c>
      <c r="K55" s="89">
        <f t="shared" si="11"/>
        <v>3050</v>
      </c>
      <c r="L55" s="106" t="s">
        <v>191</v>
      </c>
      <c r="M55" s="106" t="s">
        <v>191</v>
      </c>
    </row>
    <row r="56" spans="2:13" ht="17.25" customHeight="1" x14ac:dyDescent="0.25">
      <c r="B56" s="85">
        <f t="shared" si="9"/>
        <v>37</v>
      </c>
      <c r="C56" s="138"/>
      <c r="D56" s="86">
        <f>IFERROR(INDEX('Model - Preopening &amp; Fees'!$D$11:$D$171,MATCH('Invoices - Preopening'!$C56,'Model - Preopening &amp; Fees'!$B$11:$B$171,0)),0)</f>
        <v>0</v>
      </c>
      <c r="E56" s="87" t="s">
        <v>207</v>
      </c>
      <c r="F56" s="87" t="s">
        <v>207</v>
      </c>
      <c r="G56" s="88" t="s">
        <v>210</v>
      </c>
      <c r="H56" s="88" t="s">
        <v>210</v>
      </c>
      <c r="I56" s="114">
        <v>0</v>
      </c>
      <c r="J56" s="89">
        <f t="shared" si="7"/>
        <v>0</v>
      </c>
      <c r="K56" s="89">
        <f t="shared" si="11"/>
        <v>0</v>
      </c>
      <c r="L56" s="106" t="s">
        <v>191</v>
      </c>
      <c r="M56" s="106" t="s">
        <v>191</v>
      </c>
    </row>
    <row r="57" spans="2:13" ht="17.25" customHeight="1" x14ac:dyDescent="0.25">
      <c r="B57" s="85">
        <f t="shared" si="9"/>
        <v>38</v>
      </c>
      <c r="C57" s="138"/>
      <c r="D57" s="86">
        <f>IFERROR(INDEX('Model - Preopening &amp; Fees'!$D$11:$D$171,MATCH('Invoices - Preopening'!$C57,'Model - Preopening &amp; Fees'!$B$11:$B$171,0)),0)</f>
        <v>0</v>
      </c>
      <c r="E57" s="87" t="s">
        <v>207</v>
      </c>
      <c r="F57" s="87" t="s">
        <v>207</v>
      </c>
      <c r="G57" s="88" t="s">
        <v>210</v>
      </c>
      <c r="H57" s="88" t="s">
        <v>210</v>
      </c>
      <c r="I57" s="114">
        <v>0</v>
      </c>
      <c r="J57" s="89">
        <f t="shared" si="7"/>
        <v>0</v>
      </c>
      <c r="K57" s="89">
        <f t="shared" si="11"/>
        <v>0</v>
      </c>
      <c r="L57" s="106" t="s">
        <v>191</v>
      </c>
      <c r="M57" s="106" t="s">
        <v>191</v>
      </c>
    </row>
    <row r="58" spans="2:13" ht="17.25" customHeight="1" x14ac:dyDescent="0.25">
      <c r="B58" s="85">
        <f t="shared" si="9"/>
        <v>39</v>
      </c>
      <c r="C58" s="138"/>
      <c r="D58" s="86">
        <f>IFERROR(INDEX('Model - Preopening &amp; Fees'!$D$11:$D$171,MATCH('Invoices - Preopening'!$C58,'Model - Preopening &amp; Fees'!$B$11:$B$171,0)),0)</f>
        <v>0</v>
      </c>
      <c r="E58" s="87" t="s">
        <v>207</v>
      </c>
      <c r="F58" s="87" t="s">
        <v>207</v>
      </c>
      <c r="G58" s="88" t="s">
        <v>210</v>
      </c>
      <c r="H58" s="88" t="s">
        <v>210</v>
      </c>
      <c r="I58" s="114">
        <v>0</v>
      </c>
      <c r="J58" s="89">
        <f t="shared" si="7"/>
        <v>0</v>
      </c>
      <c r="K58" s="89">
        <f t="shared" si="11"/>
        <v>0</v>
      </c>
      <c r="L58" s="106" t="s">
        <v>191</v>
      </c>
      <c r="M58" s="106" t="s">
        <v>191</v>
      </c>
    </row>
    <row r="59" spans="2:13" ht="17.25" customHeight="1" x14ac:dyDescent="0.25">
      <c r="B59" s="85">
        <f t="shared" si="9"/>
        <v>40</v>
      </c>
      <c r="C59" s="138"/>
      <c r="D59" s="86">
        <f>IFERROR(INDEX('Model - Preopening &amp; Fees'!$D$11:$D$171,MATCH('Invoices - Preopening'!$C59,'Model - Preopening &amp; Fees'!$B$11:$B$171,0)),0)</f>
        <v>0</v>
      </c>
      <c r="E59" s="87" t="s">
        <v>207</v>
      </c>
      <c r="F59" s="87" t="s">
        <v>207</v>
      </c>
      <c r="G59" s="88" t="s">
        <v>210</v>
      </c>
      <c r="H59" s="88" t="s">
        <v>210</v>
      </c>
      <c r="I59" s="114">
        <v>0</v>
      </c>
      <c r="J59" s="89">
        <f t="shared" si="7"/>
        <v>0</v>
      </c>
      <c r="K59" s="89">
        <f t="shared" si="11"/>
        <v>0</v>
      </c>
      <c r="L59" s="106" t="s">
        <v>191</v>
      </c>
      <c r="M59" s="106" t="s">
        <v>191</v>
      </c>
    </row>
    <row r="60" spans="2:13" ht="17.25" customHeight="1" x14ac:dyDescent="0.25">
      <c r="B60" s="85">
        <f t="shared" si="9"/>
        <v>41</v>
      </c>
      <c r="C60" s="138"/>
      <c r="D60" s="86">
        <f>IFERROR(INDEX('Model - Preopening &amp; Fees'!$D$11:$D$171,MATCH('Invoices - Preopening'!$C60,'Model - Preopening &amp; Fees'!$B$11:$B$171,0)),0)</f>
        <v>0</v>
      </c>
      <c r="E60" s="87" t="s">
        <v>207</v>
      </c>
      <c r="F60" s="87" t="s">
        <v>207</v>
      </c>
      <c r="G60" s="88" t="s">
        <v>210</v>
      </c>
      <c r="H60" s="88" t="s">
        <v>210</v>
      </c>
      <c r="I60" s="114">
        <v>0</v>
      </c>
      <c r="J60" s="89">
        <f t="shared" si="7"/>
        <v>0</v>
      </c>
      <c r="K60" s="89">
        <f t="shared" si="11"/>
        <v>0</v>
      </c>
      <c r="L60" s="106" t="s">
        <v>191</v>
      </c>
      <c r="M60" s="106" t="s">
        <v>191</v>
      </c>
    </row>
    <row r="61" spans="2:13" ht="17.25" customHeight="1" x14ac:dyDescent="0.25">
      <c r="B61" s="85">
        <f t="shared" si="9"/>
        <v>42</v>
      </c>
      <c r="C61" s="138"/>
      <c r="D61" s="86">
        <f>IFERROR(INDEX('Model - Preopening &amp; Fees'!$D$11:$D$171,MATCH('Invoices - Preopening'!$C61,'Model - Preopening &amp; Fees'!$B$11:$B$171,0)),0)</f>
        <v>0</v>
      </c>
      <c r="E61" s="87" t="s">
        <v>207</v>
      </c>
      <c r="F61" s="87" t="s">
        <v>207</v>
      </c>
      <c r="G61" s="88" t="s">
        <v>210</v>
      </c>
      <c r="H61" s="88" t="s">
        <v>210</v>
      </c>
      <c r="I61" s="114">
        <v>0</v>
      </c>
      <c r="J61" s="89">
        <f t="shared" si="7"/>
        <v>0</v>
      </c>
      <c r="K61" s="89">
        <f t="shared" si="11"/>
        <v>0</v>
      </c>
      <c r="L61" s="106" t="s">
        <v>191</v>
      </c>
      <c r="M61" s="106" t="s">
        <v>191</v>
      </c>
    </row>
    <row r="62" spans="2:13" ht="17.25" customHeight="1" x14ac:dyDescent="0.25">
      <c r="B62" s="85">
        <f t="shared" si="9"/>
        <v>43</v>
      </c>
      <c r="C62" s="138"/>
      <c r="D62" s="86">
        <f>IFERROR(INDEX('Model - Preopening &amp; Fees'!$D$11:$D$171,MATCH('Invoices - Preopening'!$C62,'Model - Preopening &amp; Fees'!$B$11:$B$171,0)),0)</f>
        <v>0</v>
      </c>
      <c r="E62" s="87" t="s">
        <v>207</v>
      </c>
      <c r="F62" s="87" t="s">
        <v>207</v>
      </c>
      <c r="G62" s="88" t="s">
        <v>210</v>
      </c>
      <c r="H62" s="88" t="s">
        <v>210</v>
      </c>
      <c r="I62" s="114">
        <v>0</v>
      </c>
      <c r="J62" s="89">
        <f t="shared" si="7"/>
        <v>0</v>
      </c>
      <c r="K62" s="89">
        <f t="shared" si="11"/>
        <v>0</v>
      </c>
      <c r="L62" s="106" t="s">
        <v>191</v>
      </c>
      <c r="M62" s="106" t="s">
        <v>191</v>
      </c>
    </row>
    <row r="63" spans="2:13" ht="17.25" customHeight="1" x14ac:dyDescent="0.25">
      <c r="B63" s="85">
        <f t="shared" si="9"/>
        <v>44</v>
      </c>
      <c r="C63" s="138"/>
      <c r="D63" s="86">
        <f>IFERROR(INDEX('Model - Preopening &amp; Fees'!$D$11:$D$171,MATCH('Invoices - Preopening'!$C63,'Model - Preopening &amp; Fees'!$B$11:$B$171,0)),0)</f>
        <v>0</v>
      </c>
      <c r="E63" s="87" t="s">
        <v>207</v>
      </c>
      <c r="F63" s="87" t="s">
        <v>207</v>
      </c>
      <c r="G63" s="88" t="s">
        <v>210</v>
      </c>
      <c r="H63" s="88" t="s">
        <v>210</v>
      </c>
      <c r="I63" s="114">
        <v>0</v>
      </c>
      <c r="J63" s="89">
        <f t="shared" si="7"/>
        <v>0</v>
      </c>
      <c r="K63" s="89">
        <f t="shared" si="11"/>
        <v>0</v>
      </c>
      <c r="L63" s="106" t="s">
        <v>191</v>
      </c>
      <c r="M63" s="106" t="s">
        <v>191</v>
      </c>
    </row>
    <row r="64" spans="2:13" ht="17.25" customHeight="1" x14ac:dyDescent="0.25">
      <c r="B64" s="85">
        <f t="shared" si="9"/>
        <v>45</v>
      </c>
      <c r="C64" s="138"/>
      <c r="D64" s="86">
        <f>IFERROR(INDEX('Model - Preopening &amp; Fees'!$D$11:$D$171,MATCH('Invoices - Preopening'!$C64,'Model - Preopening &amp; Fees'!$B$11:$B$171,0)),0)</f>
        <v>0</v>
      </c>
      <c r="E64" s="87" t="s">
        <v>207</v>
      </c>
      <c r="F64" s="87" t="s">
        <v>207</v>
      </c>
      <c r="G64" s="88" t="s">
        <v>210</v>
      </c>
      <c r="H64" s="88" t="s">
        <v>210</v>
      </c>
      <c r="I64" s="114">
        <v>0</v>
      </c>
      <c r="J64" s="89">
        <f t="shared" si="7"/>
        <v>0</v>
      </c>
      <c r="K64" s="89">
        <f t="shared" si="11"/>
        <v>0</v>
      </c>
      <c r="L64" s="106" t="s">
        <v>191</v>
      </c>
      <c r="M64" s="106" t="s">
        <v>191</v>
      </c>
    </row>
    <row r="65" spans="2:13" ht="17.25" customHeight="1" x14ac:dyDescent="0.25">
      <c r="B65" s="85">
        <f t="shared" si="9"/>
        <v>46</v>
      </c>
      <c r="C65" s="138"/>
      <c r="D65" s="86">
        <f>IFERROR(INDEX('Model - Preopening &amp; Fees'!$D$11:$D$171,MATCH('Invoices - Preopening'!$C65,'Model - Preopening &amp; Fees'!$B$11:$B$171,0)),0)</f>
        <v>0</v>
      </c>
      <c r="E65" s="87" t="s">
        <v>207</v>
      </c>
      <c r="F65" s="87" t="s">
        <v>207</v>
      </c>
      <c r="G65" s="88" t="s">
        <v>210</v>
      </c>
      <c r="H65" s="88" t="s">
        <v>210</v>
      </c>
      <c r="I65" s="114">
        <v>0</v>
      </c>
      <c r="J65" s="89">
        <f t="shared" si="7"/>
        <v>0</v>
      </c>
      <c r="K65" s="89">
        <f t="shared" si="11"/>
        <v>0</v>
      </c>
      <c r="L65" s="106" t="s">
        <v>191</v>
      </c>
      <c r="M65" s="106" t="s">
        <v>191</v>
      </c>
    </row>
    <row r="66" spans="2:13" ht="17.25" customHeight="1" x14ac:dyDescent="0.25">
      <c r="B66" s="85">
        <f t="shared" si="9"/>
        <v>47</v>
      </c>
      <c r="C66" s="138"/>
      <c r="D66" s="86">
        <f>IFERROR(INDEX('Model - Preopening &amp; Fees'!$D$11:$D$171,MATCH('Invoices - Preopening'!$C66,'Model - Preopening &amp; Fees'!$B$11:$B$171,0)),0)</f>
        <v>0</v>
      </c>
      <c r="E66" s="87" t="s">
        <v>207</v>
      </c>
      <c r="F66" s="87" t="s">
        <v>207</v>
      </c>
      <c r="G66" s="88" t="s">
        <v>210</v>
      </c>
      <c r="H66" s="88" t="s">
        <v>210</v>
      </c>
      <c r="I66" s="114">
        <v>0</v>
      </c>
      <c r="J66" s="89">
        <f t="shared" si="7"/>
        <v>0</v>
      </c>
      <c r="K66" s="89">
        <f t="shared" si="11"/>
        <v>0</v>
      </c>
      <c r="L66" s="106" t="s">
        <v>191</v>
      </c>
      <c r="M66" s="106" t="s">
        <v>191</v>
      </c>
    </row>
    <row r="67" spans="2:13" ht="17.25" customHeight="1" x14ac:dyDescent="0.25">
      <c r="B67" s="85">
        <f t="shared" si="9"/>
        <v>48</v>
      </c>
      <c r="C67" s="138"/>
      <c r="D67" s="86">
        <f>IFERROR(INDEX('Model - Preopening &amp; Fees'!$D$11:$D$171,MATCH('Invoices - Preopening'!$C67,'Model - Preopening &amp; Fees'!$B$11:$B$171,0)),0)</f>
        <v>0</v>
      </c>
      <c r="E67" s="87" t="s">
        <v>207</v>
      </c>
      <c r="F67" s="87" t="s">
        <v>207</v>
      </c>
      <c r="G67" s="88" t="s">
        <v>210</v>
      </c>
      <c r="H67" s="88" t="s">
        <v>210</v>
      </c>
      <c r="I67" s="114">
        <v>0</v>
      </c>
      <c r="J67" s="89">
        <f t="shared" si="7"/>
        <v>0</v>
      </c>
      <c r="K67" s="89">
        <f t="shared" si="11"/>
        <v>0</v>
      </c>
      <c r="L67" s="106" t="s">
        <v>191</v>
      </c>
      <c r="M67" s="106" t="s">
        <v>191</v>
      </c>
    </row>
    <row r="68" spans="2:13" ht="17.25" customHeight="1" x14ac:dyDescent="0.25">
      <c r="B68" s="85">
        <f t="shared" si="9"/>
        <v>49</v>
      </c>
      <c r="C68" s="138"/>
      <c r="D68" s="86">
        <f>IFERROR(INDEX('Model - Preopening &amp; Fees'!$D$11:$D$171,MATCH('Invoices - Preopening'!$C68,'Model - Preopening &amp; Fees'!$B$11:$B$171,0)),0)</f>
        <v>0</v>
      </c>
      <c r="E68" s="87" t="s">
        <v>207</v>
      </c>
      <c r="F68" s="87" t="s">
        <v>207</v>
      </c>
      <c r="G68" s="88" t="s">
        <v>210</v>
      </c>
      <c r="H68" s="88" t="s">
        <v>210</v>
      </c>
      <c r="I68" s="114">
        <v>0</v>
      </c>
      <c r="J68" s="89">
        <f t="shared" si="7"/>
        <v>0</v>
      </c>
      <c r="K68" s="89">
        <f t="shared" si="11"/>
        <v>0</v>
      </c>
      <c r="L68" s="106" t="s">
        <v>191</v>
      </c>
      <c r="M68" s="106" t="s">
        <v>191</v>
      </c>
    </row>
    <row r="69" spans="2:13" ht="17.25" customHeight="1" x14ac:dyDescent="0.25">
      <c r="B69" s="85">
        <f t="shared" si="9"/>
        <v>50</v>
      </c>
      <c r="C69" s="138"/>
      <c r="D69" s="86">
        <f>IFERROR(INDEX('Model - Preopening &amp; Fees'!$D$11:$D$171,MATCH('Invoices - Preopening'!$C69,'Model - Preopening &amp; Fees'!$B$11:$B$171,0)),0)</f>
        <v>0</v>
      </c>
      <c r="E69" s="87" t="s">
        <v>207</v>
      </c>
      <c r="F69" s="87" t="s">
        <v>207</v>
      </c>
      <c r="G69" s="88" t="s">
        <v>210</v>
      </c>
      <c r="H69" s="88" t="s">
        <v>210</v>
      </c>
      <c r="I69" s="114">
        <v>0</v>
      </c>
      <c r="J69" s="89">
        <f t="shared" si="7"/>
        <v>0</v>
      </c>
      <c r="K69" s="89">
        <f t="shared" si="11"/>
        <v>0</v>
      </c>
      <c r="L69" s="106" t="s">
        <v>191</v>
      </c>
      <c r="M69" s="106" t="s">
        <v>191</v>
      </c>
    </row>
    <row r="70" spans="2:13" ht="17.25" customHeight="1" x14ac:dyDescent="0.25">
      <c r="B70" s="85">
        <f t="shared" si="9"/>
        <v>51</v>
      </c>
      <c r="C70" s="138"/>
      <c r="D70" s="86">
        <f>IFERROR(INDEX('Model - Preopening &amp; Fees'!$D$11:$D$171,MATCH('Invoices - Preopening'!$C70,'Model - Preopening &amp; Fees'!$B$11:$B$171,0)),0)</f>
        <v>0</v>
      </c>
      <c r="E70" s="87" t="s">
        <v>207</v>
      </c>
      <c r="F70" s="87" t="s">
        <v>207</v>
      </c>
      <c r="G70" s="88" t="s">
        <v>210</v>
      </c>
      <c r="H70" s="88" t="s">
        <v>210</v>
      </c>
      <c r="I70" s="114">
        <v>0</v>
      </c>
      <c r="J70" s="89">
        <f t="shared" si="7"/>
        <v>0</v>
      </c>
      <c r="K70" s="89">
        <f t="shared" si="11"/>
        <v>0</v>
      </c>
      <c r="L70" s="106" t="s">
        <v>191</v>
      </c>
      <c r="M70" s="106" t="s">
        <v>191</v>
      </c>
    </row>
    <row r="71" spans="2:13" ht="17.25" customHeight="1" x14ac:dyDescent="0.25">
      <c r="B71" s="85">
        <f t="shared" si="9"/>
        <v>52</v>
      </c>
      <c r="C71" s="138"/>
      <c r="D71" s="86">
        <f>IFERROR(INDEX('Model - Preopening &amp; Fees'!$D$11:$D$171,MATCH('Invoices - Preopening'!$C71,'Model - Preopening &amp; Fees'!$B$11:$B$171,0)),0)</f>
        <v>0</v>
      </c>
      <c r="E71" s="87" t="s">
        <v>207</v>
      </c>
      <c r="F71" s="87" t="s">
        <v>207</v>
      </c>
      <c r="G71" s="88" t="s">
        <v>210</v>
      </c>
      <c r="H71" s="88" t="s">
        <v>210</v>
      </c>
      <c r="I71" s="114">
        <v>0</v>
      </c>
      <c r="J71" s="89">
        <f t="shared" si="7"/>
        <v>0</v>
      </c>
      <c r="K71" s="89">
        <f t="shared" si="11"/>
        <v>0</v>
      </c>
      <c r="L71" s="106" t="s">
        <v>191</v>
      </c>
      <c r="M71" s="106" t="s">
        <v>191</v>
      </c>
    </row>
    <row r="72" spans="2:13" ht="17.25" customHeight="1" x14ac:dyDescent="0.25">
      <c r="B72" s="85">
        <f t="shared" si="9"/>
        <v>53</v>
      </c>
      <c r="C72" s="138"/>
      <c r="D72" s="86">
        <f>IFERROR(INDEX('Model - Preopening &amp; Fees'!$D$11:$D$171,MATCH('Invoices - Preopening'!$C72,'Model - Preopening &amp; Fees'!$B$11:$B$171,0)),0)</f>
        <v>0</v>
      </c>
      <c r="E72" s="87" t="s">
        <v>207</v>
      </c>
      <c r="F72" s="87" t="s">
        <v>207</v>
      </c>
      <c r="G72" s="88" t="s">
        <v>210</v>
      </c>
      <c r="H72" s="88" t="s">
        <v>210</v>
      </c>
      <c r="I72" s="114">
        <v>0</v>
      </c>
      <c r="J72" s="89">
        <f t="shared" si="7"/>
        <v>0</v>
      </c>
      <c r="K72" s="89">
        <f t="shared" si="11"/>
        <v>0</v>
      </c>
      <c r="L72" s="106" t="s">
        <v>191</v>
      </c>
      <c r="M72" s="106" t="s">
        <v>191</v>
      </c>
    </row>
    <row r="73" spans="2:13" ht="17.25" customHeight="1" x14ac:dyDescent="0.25">
      <c r="B73" s="85">
        <f t="shared" si="9"/>
        <v>54</v>
      </c>
      <c r="C73" s="138"/>
      <c r="D73" s="86">
        <f>IFERROR(INDEX('Model - Preopening &amp; Fees'!$D$11:$D$171,MATCH('Invoices - Preopening'!$C73,'Model - Preopening &amp; Fees'!$B$11:$B$171,0)),0)</f>
        <v>0</v>
      </c>
      <c r="E73" s="87" t="s">
        <v>207</v>
      </c>
      <c r="F73" s="87" t="s">
        <v>207</v>
      </c>
      <c r="G73" s="88" t="s">
        <v>210</v>
      </c>
      <c r="H73" s="88" t="s">
        <v>210</v>
      </c>
      <c r="I73" s="114">
        <v>0</v>
      </c>
      <c r="J73" s="89">
        <f t="shared" si="7"/>
        <v>0</v>
      </c>
      <c r="K73" s="89">
        <f t="shared" si="11"/>
        <v>0</v>
      </c>
      <c r="L73" s="106" t="s">
        <v>191</v>
      </c>
      <c r="M73" s="106" t="s">
        <v>191</v>
      </c>
    </row>
    <row r="74" spans="2:13" ht="17.25" customHeight="1" x14ac:dyDescent="0.25">
      <c r="B74" s="85">
        <f t="shared" si="9"/>
        <v>55</v>
      </c>
      <c r="C74" s="138"/>
      <c r="D74" s="86">
        <f>IFERROR(INDEX('Model - Preopening &amp; Fees'!$D$11:$D$171,MATCH('Invoices - Preopening'!$C74,'Model - Preopening &amp; Fees'!$B$11:$B$171,0)),0)</f>
        <v>0</v>
      </c>
      <c r="E74" s="87" t="s">
        <v>207</v>
      </c>
      <c r="F74" s="87" t="s">
        <v>207</v>
      </c>
      <c r="G74" s="88" t="s">
        <v>210</v>
      </c>
      <c r="H74" s="88" t="s">
        <v>210</v>
      </c>
      <c r="I74" s="114">
        <v>0</v>
      </c>
      <c r="J74" s="89">
        <f t="shared" si="7"/>
        <v>0</v>
      </c>
      <c r="K74" s="89">
        <f t="shared" si="11"/>
        <v>0</v>
      </c>
      <c r="L74" s="106" t="s">
        <v>191</v>
      </c>
      <c r="M74" s="106" t="s">
        <v>191</v>
      </c>
    </row>
    <row r="75" spans="2:13" ht="17.25" customHeight="1" x14ac:dyDescent="0.25">
      <c r="B75" s="85">
        <f t="shared" si="9"/>
        <v>56</v>
      </c>
      <c r="C75" s="138"/>
      <c r="D75" s="86">
        <f>IFERROR(INDEX('Model - Preopening &amp; Fees'!$D$11:$D$171,MATCH('Invoices - Preopening'!$C75,'Model - Preopening &amp; Fees'!$B$11:$B$171,0)),0)</f>
        <v>0</v>
      </c>
      <c r="E75" s="87" t="s">
        <v>207</v>
      </c>
      <c r="F75" s="87" t="s">
        <v>207</v>
      </c>
      <c r="G75" s="88" t="s">
        <v>210</v>
      </c>
      <c r="H75" s="88" t="s">
        <v>210</v>
      </c>
      <c r="I75" s="114">
        <v>0</v>
      </c>
      <c r="J75" s="89">
        <f t="shared" si="7"/>
        <v>0</v>
      </c>
      <c r="K75" s="89">
        <f t="shared" si="11"/>
        <v>0</v>
      </c>
      <c r="L75" s="106" t="s">
        <v>191</v>
      </c>
      <c r="M75" s="106" t="s">
        <v>191</v>
      </c>
    </row>
    <row r="76" spans="2:13" ht="17.25" customHeight="1" x14ac:dyDescent="0.25">
      <c r="B76" s="85">
        <f t="shared" si="9"/>
        <v>57</v>
      </c>
      <c r="C76" s="138"/>
      <c r="D76" s="86">
        <f>IFERROR(INDEX('Model - Preopening &amp; Fees'!$D$11:$D$171,MATCH('Invoices - Preopening'!$C76,'Model - Preopening &amp; Fees'!$B$11:$B$171,0)),0)</f>
        <v>0</v>
      </c>
      <c r="E76" s="87" t="s">
        <v>207</v>
      </c>
      <c r="F76" s="87" t="s">
        <v>207</v>
      </c>
      <c r="G76" s="88" t="s">
        <v>210</v>
      </c>
      <c r="H76" s="88" t="s">
        <v>210</v>
      </c>
      <c r="I76" s="114">
        <v>0</v>
      </c>
      <c r="J76" s="89">
        <f t="shared" si="7"/>
        <v>0</v>
      </c>
      <c r="K76" s="89">
        <f t="shared" si="11"/>
        <v>0</v>
      </c>
      <c r="L76" s="106" t="s">
        <v>191</v>
      </c>
      <c r="M76" s="106" t="s">
        <v>191</v>
      </c>
    </row>
    <row r="77" spans="2:13" ht="17.25" customHeight="1" x14ac:dyDescent="0.25">
      <c r="B77" s="85">
        <f t="shared" si="9"/>
        <v>58</v>
      </c>
      <c r="C77" s="138"/>
      <c r="D77" s="86">
        <f>IFERROR(INDEX('Model - Preopening &amp; Fees'!$D$11:$D$171,MATCH('Invoices - Preopening'!$C77,'Model - Preopening &amp; Fees'!$B$11:$B$171,0)),0)</f>
        <v>0</v>
      </c>
      <c r="E77" s="87" t="s">
        <v>207</v>
      </c>
      <c r="F77" s="87" t="s">
        <v>207</v>
      </c>
      <c r="G77" s="88" t="s">
        <v>210</v>
      </c>
      <c r="H77" s="88" t="s">
        <v>210</v>
      </c>
      <c r="I77" s="114">
        <v>0</v>
      </c>
      <c r="J77" s="89">
        <f t="shared" si="7"/>
        <v>0</v>
      </c>
      <c r="K77" s="89">
        <f t="shared" si="11"/>
        <v>0</v>
      </c>
      <c r="L77" s="106" t="s">
        <v>191</v>
      </c>
      <c r="M77" s="106" t="s">
        <v>191</v>
      </c>
    </row>
    <row r="78" spans="2:13" ht="17.25" customHeight="1" x14ac:dyDescent="0.25">
      <c r="B78" s="85">
        <f t="shared" si="9"/>
        <v>59</v>
      </c>
      <c r="C78" s="138"/>
      <c r="D78" s="86">
        <f>IFERROR(INDEX('Model - Preopening &amp; Fees'!$D$11:$D$171,MATCH('Invoices - Preopening'!$C78,'Model - Preopening &amp; Fees'!$B$11:$B$171,0)),0)</f>
        <v>0</v>
      </c>
      <c r="E78" s="87" t="s">
        <v>207</v>
      </c>
      <c r="F78" s="87" t="s">
        <v>207</v>
      </c>
      <c r="G78" s="88" t="s">
        <v>210</v>
      </c>
      <c r="H78" s="88" t="s">
        <v>210</v>
      </c>
      <c r="I78" s="114">
        <v>0</v>
      </c>
      <c r="J78" s="89">
        <f t="shared" si="7"/>
        <v>0</v>
      </c>
      <c r="K78" s="89">
        <f t="shared" si="11"/>
        <v>0</v>
      </c>
      <c r="L78" s="106" t="s">
        <v>191</v>
      </c>
      <c r="M78" s="106" t="s">
        <v>191</v>
      </c>
    </row>
    <row r="79" spans="2:13" ht="17.25" customHeight="1" x14ac:dyDescent="0.25">
      <c r="B79" s="85">
        <f t="shared" si="9"/>
        <v>60</v>
      </c>
      <c r="C79" s="138"/>
      <c r="D79" s="86">
        <f>IFERROR(INDEX('Model - Preopening &amp; Fees'!$D$11:$D$171,MATCH('Invoices - Preopening'!$C79,'Model - Preopening &amp; Fees'!$B$11:$B$171,0)),0)</f>
        <v>0</v>
      </c>
      <c r="E79" s="87" t="s">
        <v>207</v>
      </c>
      <c r="F79" s="87" t="s">
        <v>207</v>
      </c>
      <c r="G79" s="88" t="s">
        <v>210</v>
      </c>
      <c r="H79" s="88" t="s">
        <v>210</v>
      </c>
      <c r="I79" s="114">
        <v>0</v>
      </c>
      <c r="J79" s="89">
        <f t="shared" si="7"/>
        <v>0</v>
      </c>
      <c r="K79" s="89">
        <f t="shared" si="11"/>
        <v>0</v>
      </c>
      <c r="L79" s="106" t="s">
        <v>191</v>
      </c>
      <c r="M79" s="106" t="s">
        <v>191</v>
      </c>
    </row>
    <row r="80" spans="2:13" ht="17.25" customHeight="1" x14ac:dyDescent="0.25">
      <c r="B80" s="85">
        <f t="shared" si="9"/>
        <v>61</v>
      </c>
      <c r="C80" s="138"/>
      <c r="D80" s="86">
        <f>IFERROR(INDEX('Model - Preopening &amp; Fees'!$D$11:$D$171,MATCH('Invoices - Preopening'!$C80,'Model - Preopening &amp; Fees'!$B$11:$B$171,0)),0)</f>
        <v>0</v>
      </c>
      <c r="E80" s="87" t="s">
        <v>207</v>
      </c>
      <c r="F80" s="87" t="s">
        <v>207</v>
      </c>
      <c r="G80" s="88" t="s">
        <v>210</v>
      </c>
      <c r="H80" s="88" t="s">
        <v>210</v>
      </c>
      <c r="I80" s="114">
        <v>0</v>
      </c>
      <c r="J80" s="89">
        <f t="shared" si="7"/>
        <v>0</v>
      </c>
      <c r="K80" s="89">
        <f t="shared" si="11"/>
        <v>0</v>
      </c>
      <c r="L80" s="106" t="s">
        <v>191</v>
      </c>
      <c r="M80" s="106" t="s">
        <v>191</v>
      </c>
    </row>
    <row r="81" spans="2:13" ht="17.25" customHeight="1" x14ac:dyDescent="0.25">
      <c r="B81" s="85">
        <f t="shared" si="9"/>
        <v>62</v>
      </c>
      <c r="C81" s="138"/>
      <c r="D81" s="86">
        <f>IFERROR(INDEX('Model - Preopening &amp; Fees'!$D$11:$D$171,MATCH('Invoices - Preopening'!$C81,'Model - Preopening &amp; Fees'!$B$11:$B$171,0)),0)</f>
        <v>0</v>
      </c>
      <c r="E81" s="87" t="s">
        <v>207</v>
      </c>
      <c r="F81" s="87" t="s">
        <v>207</v>
      </c>
      <c r="G81" s="88" t="s">
        <v>210</v>
      </c>
      <c r="H81" s="88" t="s">
        <v>210</v>
      </c>
      <c r="I81" s="114">
        <v>0</v>
      </c>
      <c r="J81" s="89">
        <f t="shared" si="7"/>
        <v>0</v>
      </c>
      <c r="K81" s="89">
        <f t="shared" si="11"/>
        <v>0</v>
      </c>
      <c r="L81" s="106" t="s">
        <v>191</v>
      </c>
      <c r="M81" s="106" t="s">
        <v>191</v>
      </c>
    </row>
    <row r="82" spans="2:13" ht="17.25" customHeight="1" x14ac:dyDescent="0.25">
      <c r="B82" s="85">
        <f t="shared" si="9"/>
        <v>63</v>
      </c>
      <c r="C82" s="138"/>
      <c r="D82" s="86">
        <f>IFERROR(INDEX('Model - Preopening &amp; Fees'!$D$11:$D$171,MATCH('Invoices - Preopening'!$C82,'Model - Preopening &amp; Fees'!$B$11:$B$171,0)),0)</f>
        <v>0</v>
      </c>
      <c r="E82" s="87" t="s">
        <v>207</v>
      </c>
      <c r="F82" s="87" t="s">
        <v>207</v>
      </c>
      <c r="G82" s="88" t="s">
        <v>210</v>
      </c>
      <c r="H82" s="88" t="s">
        <v>210</v>
      </c>
      <c r="I82" s="114">
        <v>0</v>
      </c>
      <c r="J82" s="89">
        <f t="shared" si="7"/>
        <v>0</v>
      </c>
      <c r="K82" s="89">
        <f t="shared" si="11"/>
        <v>0</v>
      </c>
      <c r="L82" s="106" t="s">
        <v>191</v>
      </c>
      <c r="M82" s="106" t="s">
        <v>191</v>
      </c>
    </row>
    <row r="83" spans="2:13" ht="17.25" customHeight="1" x14ac:dyDescent="0.25">
      <c r="B83" s="85">
        <f t="shared" si="9"/>
        <v>64</v>
      </c>
      <c r="C83" s="138"/>
      <c r="D83" s="86">
        <f>IFERROR(INDEX('Model - Preopening &amp; Fees'!$D$11:$D$171,MATCH('Invoices - Preopening'!$C83,'Model - Preopening &amp; Fees'!$B$11:$B$171,0)),0)</f>
        <v>0</v>
      </c>
      <c r="E83" s="87" t="s">
        <v>207</v>
      </c>
      <c r="F83" s="87" t="s">
        <v>207</v>
      </c>
      <c r="G83" s="88" t="s">
        <v>210</v>
      </c>
      <c r="H83" s="88" t="s">
        <v>210</v>
      </c>
      <c r="I83" s="114">
        <v>0</v>
      </c>
      <c r="J83" s="89">
        <f t="shared" ref="J83:J87" si="12">I83*22%</f>
        <v>0</v>
      </c>
      <c r="K83" s="89">
        <f t="shared" si="11"/>
        <v>0</v>
      </c>
      <c r="L83" s="106" t="s">
        <v>191</v>
      </c>
      <c r="M83" s="106" t="s">
        <v>191</v>
      </c>
    </row>
    <row r="84" spans="2:13" ht="17.25" customHeight="1" x14ac:dyDescent="0.25">
      <c r="B84" s="85">
        <f t="shared" si="9"/>
        <v>65</v>
      </c>
      <c r="C84" s="138"/>
      <c r="D84" s="86">
        <f>IFERROR(INDEX('Model - Preopening &amp; Fees'!$D$11:$D$171,MATCH('Invoices - Preopening'!$C84,'Model - Preopening &amp; Fees'!$B$11:$B$171,0)),0)</f>
        <v>0</v>
      </c>
      <c r="E84" s="87" t="s">
        <v>207</v>
      </c>
      <c r="F84" s="87" t="s">
        <v>207</v>
      </c>
      <c r="G84" s="88" t="s">
        <v>210</v>
      </c>
      <c r="H84" s="88" t="s">
        <v>210</v>
      </c>
      <c r="I84" s="114">
        <v>0</v>
      </c>
      <c r="J84" s="89">
        <f t="shared" si="12"/>
        <v>0</v>
      </c>
      <c r="K84" s="89">
        <f t="shared" si="11"/>
        <v>0</v>
      </c>
      <c r="L84" s="106" t="s">
        <v>191</v>
      </c>
      <c r="M84" s="106" t="s">
        <v>191</v>
      </c>
    </row>
    <row r="85" spans="2:13" ht="17.25" customHeight="1" x14ac:dyDescent="0.25">
      <c r="B85" s="85">
        <f t="shared" si="9"/>
        <v>66</v>
      </c>
      <c r="C85" s="138"/>
      <c r="D85" s="86">
        <f>IFERROR(INDEX('Model - Preopening &amp; Fees'!$D$11:$D$171,MATCH('Invoices - Preopening'!$C85,'Model - Preopening &amp; Fees'!$B$11:$B$171,0)),0)</f>
        <v>0</v>
      </c>
      <c r="E85" s="87" t="s">
        <v>207</v>
      </c>
      <c r="F85" s="87" t="s">
        <v>207</v>
      </c>
      <c r="G85" s="88" t="s">
        <v>210</v>
      </c>
      <c r="H85" s="88" t="s">
        <v>210</v>
      </c>
      <c r="I85" s="114">
        <v>0</v>
      </c>
      <c r="J85" s="89">
        <f t="shared" si="12"/>
        <v>0</v>
      </c>
      <c r="K85" s="89">
        <f t="shared" si="11"/>
        <v>0</v>
      </c>
      <c r="L85" s="106" t="s">
        <v>191</v>
      </c>
      <c r="M85" s="106" t="s">
        <v>191</v>
      </c>
    </row>
    <row r="86" spans="2:13" ht="17.25" customHeight="1" x14ac:dyDescent="0.25">
      <c r="B86" s="85">
        <f t="shared" ref="B86:B87" si="13">B85+1</f>
        <v>67</v>
      </c>
      <c r="C86" s="138"/>
      <c r="D86" s="86">
        <f>IFERROR(INDEX('Model - Preopening &amp; Fees'!$D$11:$D$171,MATCH('Invoices - Preopening'!$C86,'Model - Preopening &amp; Fees'!$B$11:$B$171,0)),0)</f>
        <v>0</v>
      </c>
      <c r="E86" s="87" t="s">
        <v>207</v>
      </c>
      <c r="F86" s="87" t="s">
        <v>207</v>
      </c>
      <c r="G86" s="88" t="s">
        <v>210</v>
      </c>
      <c r="H86" s="88" t="s">
        <v>210</v>
      </c>
      <c r="I86" s="114">
        <v>0</v>
      </c>
      <c r="J86" s="89">
        <f t="shared" si="12"/>
        <v>0</v>
      </c>
      <c r="K86" s="89">
        <f t="shared" si="11"/>
        <v>0</v>
      </c>
      <c r="L86" s="106" t="s">
        <v>191</v>
      </c>
      <c r="M86" s="106" t="s">
        <v>191</v>
      </c>
    </row>
    <row r="87" spans="2:13" ht="17.25" customHeight="1" x14ac:dyDescent="0.25">
      <c r="B87" s="85">
        <f t="shared" si="13"/>
        <v>68</v>
      </c>
      <c r="C87" s="138"/>
      <c r="D87" s="86">
        <f>IFERROR(INDEX('Model - Preopening &amp; Fees'!$D$11:$D$171,MATCH('Invoices - Preopening'!$C87,'Model - Preopening &amp; Fees'!$B$11:$B$171,0)),0)</f>
        <v>0</v>
      </c>
      <c r="E87" s="87" t="s">
        <v>207</v>
      </c>
      <c r="F87" s="87" t="s">
        <v>207</v>
      </c>
      <c r="G87" s="88" t="s">
        <v>210</v>
      </c>
      <c r="H87" s="88" t="s">
        <v>210</v>
      </c>
      <c r="I87" s="114">
        <v>0</v>
      </c>
      <c r="J87" s="89">
        <f t="shared" si="12"/>
        <v>0</v>
      </c>
      <c r="K87" s="89">
        <f t="shared" si="11"/>
        <v>0</v>
      </c>
      <c r="L87" s="106" t="s">
        <v>191</v>
      </c>
      <c r="M87" s="106" t="s">
        <v>191</v>
      </c>
    </row>
    <row r="88" spans="2:13" ht="17.25" customHeight="1" x14ac:dyDescent="0.25">
      <c r="B88" s="90"/>
      <c r="C88" s="90"/>
      <c r="D88" s="90"/>
    </row>
    <row r="89" spans="2:13" ht="17.25" customHeight="1" x14ac:dyDescent="0.25">
      <c r="B89" s="90"/>
      <c r="C89" s="90"/>
      <c r="D89" s="90"/>
    </row>
  </sheetData>
  <conditionalFormatting sqref="H7:H14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L20:M87">
    <cfRule type="cellIs" dxfId="1" priority="1" operator="equal">
      <formula>$S$4</formula>
    </cfRule>
    <cfRule type="cellIs" dxfId="0" priority="2" operator="equal">
      <formula>$S$3</formula>
    </cfRule>
  </conditionalFormatting>
  <dataValidations count="1">
    <dataValidation type="list" allowBlank="1" showInputMessage="1" showErrorMessage="1" sqref="L20:M87" xr:uid="{45D7A6A4-CCFF-4244-A18E-74BC727B6AEA}">
      <formula1>$S$3:$S$4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00F737-D094-484C-B730-85F19BBE1508}">
          <x14:formula1>
            <xm:f>'Data Val'!$B$4:$B$75</xm:f>
          </x14:formula1>
          <xm:sqref>C20:C87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4A4D-80D9-4280-9F34-F17341A4B9EB}">
  <dimension ref="E5:J24"/>
  <sheetViews>
    <sheetView showGridLines="0" zoomScaleNormal="100" workbookViewId="0">
      <selection activeCell="U6" sqref="U6"/>
    </sheetView>
  </sheetViews>
  <sheetFormatPr defaultColWidth="8.85546875" defaultRowHeight="15" x14ac:dyDescent="0.25"/>
  <cols>
    <col min="1" max="4" width="4.140625" customWidth="1"/>
    <col min="5" max="5" width="37.140625" customWidth="1"/>
    <col min="6" max="6" width="1.28515625" customWidth="1"/>
    <col min="8" max="8" width="8.85546875" bestFit="1" customWidth="1"/>
    <col min="9" max="9" width="0.85546875" customWidth="1"/>
  </cols>
  <sheetData>
    <row r="5" spans="5:10" x14ac:dyDescent="0.25">
      <c r="E5" s="119" t="s">
        <v>220</v>
      </c>
      <c r="F5" s="120"/>
      <c r="G5" s="121" t="s">
        <v>221</v>
      </c>
      <c r="H5" s="121" t="s">
        <v>222</v>
      </c>
      <c r="I5" s="120"/>
      <c r="J5" s="122" t="s">
        <v>223</v>
      </c>
    </row>
    <row r="6" spans="5:10" x14ac:dyDescent="0.25">
      <c r="E6" s="123" t="s">
        <v>224</v>
      </c>
      <c r="F6" s="120"/>
      <c r="G6" s="124">
        <v>150000</v>
      </c>
      <c r="H6" s="124">
        <f>'Model - Preopening &amp; Fees'!J133+'Model - Preopening &amp; Fees'!J88+'Model - Preopening &amp; Fees'!J89</f>
        <v>182832</v>
      </c>
      <c r="I6" s="120"/>
      <c r="J6" s="125">
        <f>H6-G6</f>
        <v>32832</v>
      </c>
    </row>
    <row r="7" spans="5:10" x14ac:dyDescent="0.25">
      <c r="E7" s="123" t="s">
        <v>225</v>
      </c>
      <c r="F7" s="120"/>
      <c r="G7" s="124">
        <v>373000</v>
      </c>
      <c r="H7" s="124" t="e">
        <f>SUM('Model - Preopening &amp; Fees'!J85:J89,'Model - Preopening &amp; Fees'!J61:J65,'Model - Preopening &amp; Fees'!#REF!)</f>
        <v>#REF!</v>
      </c>
      <c r="I7" s="120"/>
      <c r="J7" s="125" t="e">
        <f t="shared" ref="J7:J16" si="0">H7-G7</f>
        <v>#REF!</v>
      </c>
    </row>
    <row r="8" spans="5:10" x14ac:dyDescent="0.25">
      <c r="E8" s="123" t="s">
        <v>226</v>
      </c>
      <c r="F8" s="120"/>
      <c r="G8" s="124">
        <v>65161.272321428572</v>
      </c>
      <c r="H8" s="124" t="e">
        <f>SUM('Model - Preopening &amp; Fees'!#REF!,'Model - Preopening &amp; Fees'!J73:J75,'Model - Preopening &amp; Fees'!J79:J82)-'Model - Preopening &amp; Fees'!#REF!-'Model - Preopening &amp; Fees'!J88-'Model - Preopening &amp; Fees'!J89</f>
        <v>#REF!</v>
      </c>
      <c r="I8" s="120"/>
      <c r="J8" s="125" t="e">
        <f t="shared" si="0"/>
        <v>#REF!</v>
      </c>
    </row>
    <row r="9" spans="5:10" x14ac:dyDescent="0.25">
      <c r="E9" s="123" t="s">
        <v>143</v>
      </c>
      <c r="F9" s="120"/>
      <c r="G9" s="124">
        <v>0</v>
      </c>
      <c r="H9" s="124">
        <f>SUM('Model - Preopening &amp; Fees'!J57:J60)</f>
        <v>52335.5</v>
      </c>
      <c r="I9" s="120"/>
      <c r="J9" s="125">
        <f t="shared" si="0"/>
        <v>52335.5</v>
      </c>
    </row>
    <row r="10" spans="5:10" x14ac:dyDescent="0.25">
      <c r="E10" s="123" t="s">
        <v>227</v>
      </c>
      <c r="F10" s="120"/>
      <c r="G10" s="124">
        <v>81000</v>
      </c>
      <c r="H10" s="124">
        <f>SUM('Model - Preopening &amp; Fees'!H122)</f>
        <v>40000</v>
      </c>
      <c r="I10" s="120"/>
      <c r="J10" s="125">
        <f t="shared" si="0"/>
        <v>-41000</v>
      </c>
    </row>
    <row r="11" spans="5:10" x14ac:dyDescent="0.25">
      <c r="E11" s="123" t="s">
        <v>168</v>
      </c>
      <c r="F11" s="120"/>
      <c r="G11" s="124">
        <v>0</v>
      </c>
      <c r="H11" s="124">
        <f>SUM('Model - Preopening &amp; Fees'!H117)</f>
        <v>165000</v>
      </c>
      <c r="I11" s="120"/>
      <c r="J11" s="125">
        <f t="shared" si="0"/>
        <v>165000</v>
      </c>
    </row>
    <row r="12" spans="5:10" x14ac:dyDescent="0.25">
      <c r="E12" s="123" t="s">
        <v>42</v>
      </c>
      <c r="F12" s="120"/>
      <c r="G12" s="124">
        <v>0</v>
      </c>
      <c r="H12" s="124">
        <f>'Model - Preopening &amp; Fees'!J125</f>
        <v>40000</v>
      </c>
      <c r="I12" s="120"/>
      <c r="J12" s="125">
        <f t="shared" si="0"/>
        <v>40000</v>
      </c>
    </row>
    <row r="13" spans="5:10" x14ac:dyDescent="0.25">
      <c r="E13" s="123" t="s">
        <v>211</v>
      </c>
      <c r="F13" s="120"/>
      <c r="G13" s="124">
        <v>0</v>
      </c>
      <c r="H13" s="124">
        <f>'Model - Preopening &amp; Fees'!J126</f>
        <v>66435.03</v>
      </c>
      <c r="I13" s="120"/>
      <c r="J13" s="125">
        <f t="shared" si="0"/>
        <v>66435.03</v>
      </c>
    </row>
    <row r="14" spans="5:10" x14ac:dyDescent="0.25">
      <c r="E14" s="123" t="s">
        <v>176</v>
      </c>
      <c r="F14" s="120"/>
      <c r="G14" s="124">
        <v>0</v>
      </c>
      <c r="H14" s="124">
        <f>'Model - Preopening &amp; Fees'!J127</f>
        <v>0</v>
      </c>
      <c r="I14" s="120"/>
      <c r="J14" s="125">
        <f t="shared" si="0"/>
        <v>0</v>
      </c>
    </row>
    <row r="15" spans="5:10" x14ac:dyDescent="0.25">
      <c r="E15" s="126" t="s">
        <v>228</v>
      </c>
      <c r="F15" s="120"/>
      <c r="G15" s="124">
        <v>0</v>
      </c>
      <c r="H15" s="127">
        <v>70160.979999999516</v>
      </c>
      <c r="I15" s="120"/>
      <c r="J15" s="125">
        <f t="shared" si="0"/>
        <v>70160.979999999516</v>
      </c>
    </row>
    <row r="16" spans="5:10" x14ac:dyDescent="0.25">
      <c r="E16" s="128" t="s">
        <v>229</v>
      </c>
      <c r="F16" s="129"/>
      <c r="G16" s="130">
        <f>SUM(G5:G15)</f>
        <v>669161.27232142852</v>
      </c>
      <c r="H16" s="130" t="e">
        <f>SUM(H5:H15)</f>
        <v>#REF!</v>
      </c>
      <c r="I16" s="120"/>
      <c r="J16" s="131" t="e">
        <f t="shared" si="0"/>
        <v>#REF!</v>
      </c>
    </row>
    <row r="17" spans="5:10" x14ac:dyDescent="0.25">
      <c r="E17" s="132"/>
      <c r="F17" s="132"/>
      <c r="G17" s="132"/>
      <c r="H17" s="132"/>
      <c r="I17" s="132"/>
      <c r="J17" s="133"/>
    </row>
    <row r="18" spans="5:10" x14ac:dyDescent="0.25">
      <c r="E18" s="132"/>
      <c r="F18" s="132"/>
      <c r="G18" s="132"/>
      <c r="H18" s="134" t="e">
        <f>H16+'Model - Preopening &amp; Fees'!J146</f>
        <v>#REF!</v>
      </c>
      <c r="I18" s="132"/>
      <c r="J18" s="133"/>
    </row>
    <row r="19" spans="5:10" x14ac:dyDescent="0.25">
      <c r="E19" s="132"/>
      <c r="F19" s="132"/>
      <c r="G19" s="132"/>
      <c r="H19" s="134">
        <f>'Model - Preopening &amp; Fees'!J139</f>
        <v>1271146.2366666666</v>
      </c>
      <c r="I19" s="132"/>
      <c r="J19" s="133"/>
    </row>
    <row r="20" spans="5:10" x14ac:dyDescent="0.25">
      <c r="E20" s="132"/>
      <c r="F20" s="132"/>
      <c r="G20" s="132"/>
      <c r="H20" s="134" t="e">
        <f>H19-H18</f>
        <v>#REF!</v>
      </c>
      <c r="I20" s="132"/>
      <c r="J20" s="133"/>
    </row>
    <row r="21" spans="5:10" x14ac:dyDescent="0.25">
      <c r="E21" s="133" t="s">
        <v>230</v>
      </c>
      <c r="F21" s="27"/>
      <c r="G21" s="27"/>
      <c r="H21" s="136">
        <f>'Model - Preopening &amp; Fees'!F146</f>
        <v>420000</v>
      </c>
    </row>
    <row r="22" spans="5:10" x14ac:dyDescent="0.25">
      <c r="E22" s="133" t="s">
        <v>231</v>
      </c>
      <c r="F22" s="27"/>
      <c r="G22" s="27"/>
      <c r="H22" s="136" t="e">
        <f>H16+H21</f>
        <v>#REF!</v>
      </c>
    </row>
    <row r="23" spans="5:10" x14ac:dyDescent="0.25">
      <c r="E23" s="132"/>
      <c r="H23" s="134"/>
    </row>
    <row r="24" spans="5:10" x14ac:dyDescent="0.25">
      <c r="E24" s="132" t="s">
        <v>232</v>
      </c>
      <c r="H24" s="135">
        <v>1756114.31333333</v>
      </c>
    </row>
  </sheetData>
  <conditionalFormatting sqref="J6:J15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EEF9-030C-42BE-B377-1622BF276811}">
  <dimension ref="B2:XFC74"/>
  <sheetViews>
    <sheetView showGridLines="0" topLeftCell="A16" zoomScale="85" zoomScaleNormal="85" workbookViewId="0">
      <selection activeCell="B43" sqref="B43"/>
    </sheetView>
  </sheetViews>
  <sheetFormatPr defaultColWidth="8.85546875" defaultRowHeight="15" x14ac:dyDescent="0.25"/>
  <cols>
    <col min="2" max="2" width="63.42578125" customWidth="1"/>
    <col min="3" max="3" width="16.85546875" customWidth="1"/>
  </cols>
  <sheetData>
    <row r="2" spans="2:3" x14ac:dyDescent="0.25">
      <c r="B2" s="30" t="s">
        <v>233</v>
      </c>
      <c r="C2" s="19"/>
    </row>
    <row r="4" spans="2:3" x14ac:dyDescent="0.25">
      <c r="B4" s="21" t="str">
        <f>'Model - Preopening &amp; Fees'!B14</f>
        <v>Communication Plan (with Local Agency)</v>
      </c>
      <c r="C4" s="2" t="s">
        <v>119</v>
      </c>
    </row>
    <row r="5" spans="2:3" x14ac:dyDescent="0.25">
      <c r="B5" s="21" t="str">
        <f>'Model - Preopening &amp; Fees'!B15</f>
        <v>PR (with Local Agency) year retainer</v>
      </c>
      <c r="C5" s="2" t="s">
        <v>119</v>
      </c>
    </row>
    <row r="6" spans="2:3" x14ac:dyDescent="0.25">
      <c r="B6" s="21" t="str">
        <f>'Model - Preopening &amp; Fees'!B18</f>
        <v>Photoshoot September - Mock Up Rooms</v>
      </c>
      <c r="C6" s="2" t="s">
        <v>119</v>
      </c>
    </row>
    <row r="7" spans="2:3" x14ac:dyDescent="0.25">
      <c r="B7" s="21" t="str">
        <f>'Model - Preopening &amp; Fees'!B19</f>
        <v>Photoshoot Full February</v>
      </c>
      <c r="C7" s="2" t="s">
        <v>119</v>
      </c>
    </row>
    <row r="8" spans="2:3" x14ac:dyDescent="0.25">
      <c r="B8" s="21" t="str">
        <f>'Model - Preopening &amp; Fees'!B20</f>
        <v>Videoshoot (included in Diginauts scope)</v>
      </c>
      <c r="C8" s="2" t="s">
        <v>119</v>
      </c>
    </row>
    <row r="9" spans="2:3" x14ac:dyDescent="0.25">
      <c r="B9" s="21" t="str">
        <f>'Model - Preopening &amp; Fees'!B21</f>
        <v>Videoshoot Lifestyle February</v>
      </c>
      <c r="C9" s="2" t="s">
        <v>119</v>
      </c>
    </row>
    <row r="10" spans="2:3" x14ac:dyDescent="0.25">
      <c r="B10" s="21" t="str">
        <f>'Model - Preopening &amp; Fees'!B22</f>
        <v>Photoshoot Lifestyle &amp; City February</v>
      </c>
      <c r="C10" s="2" t="s">
        <v>119</v>
      </c>
    </row>
    <row r="11" spans="2:3" x14ac:dyDescent="0.25">
      <c r="B11" s="21" t="str">
        <f>'Model - Preopening &amp; Fees'!B25</f>
        <v>Visual Identity Development  (Logo, Fonts, Guidelines)</v>
      </c>
      <c r="C11" s="2" t="s">
        <v>119</v>
      </c>
    </row>
    <row r="12" spans="2:3" x14ac:dyDescent="0.25">
      <c r="B12" s="21" t="str">
        <f>'Model - Preopening &amp; Fees'!B26</f>
        <v>Photography F&amp;B</v>
      </c>
      <c r="C12" s="2" t="s">
        <v>119</v>
      </c>
    </row>
    <row r="13" spans="2:3" x14ac:dyDescent="0.25">
      <c r="B13" s="21" t="str">
        <f>'Model - Preopening &amp; Fees'!B29</f>
        <v>Influencer Fees</v>
      </c>
      <c r="C13" s="2" t="s">
        <v>119</v>
      </c>
    </row>
    <row r="14" spans="2:3" x14ac:dyDescent="0.25">
      <c r="B14" s="21" t="str">
        <f>'Model - Preopening &amp; Fees'!B30</f>
        <v>Boosting Organic Content</v>
      </c>
      <c r="C14" s="2" t="s">
        <v>119</v>
      </c>
    </row>
    <row r="15" spans="2:3" x14ac:dyDescent="0.25">
      <c r="B15" s="21" t="str">
        <f>'Model - Preopening &amp; Fees'!B33</f>
        <v>Diginauts Retainer (Sep 2026 till April 2027)</v>
      </c>
      <c r="C15" s="2" t="s">
        <v>119</v>
      </c>
    </row>
    <row r="16" spans="2:3" x14ac:dyDescent="0.25">
      <c r="B16" s="21" t="str">
        <f>'Model - Preopening &amp; Fees'!B34</f>
        <v>Room Ads</v>
      </c>
      <c r="C16" s="2" t="s">
        <v>119</v>
      </c>
    </row>
    <row r="17" spans="2:3" x14ac:dyDescent="0.25">
      <c r="B17" s="21" t="str">
        <f>'Model - Preopening &amp; Fees'!B35</f>
        <v>F&amp;B Ads</v>
      </c>
      <c r="C17" s="2" t="s">
        <v>119</v>
      </c>
    </row>
    <row r="18" spans="2:3" x14ac:dyDescent="0.25">
      <c r="B18" s="21" t="str">
        <f>'Model - Preopening &amp; Fees'!B36</f>
        <v>Branded Ads</v>
      </c>
      <c r="C18" s="2" t="s">
        <v>119</v>
      </c>
    </row>
    <row r="19" spans="2:3" x14ac:dyDescent="0.25">
      <c r="B19" s="21" t="str">
        <f>'Model - Preopening &amp; Fees'!B40</f>
        <v>Production Campaign Materials (OOH, Guerilla)</v>
      </c>
      <c r="C19" s="2" t="s">
        <v>119</v>
      </c>
    </row>
    <row r="20" spans="2:3" x14ac:dyDescent="0.25">
      <c r="B20" s="21" t="str">
        <f>'Model - Preopening &amp; Fees'!B41</f>
        <v>Print Materials (excl. build &amp; ops/F&amp;B &amp; recruitment materials)</v>
      </c>
      <c r="C20" s="2" t="s">
        <v>119</v>
      </c>
    </row>
    <row r="21" spans="2:3" x14ac:dyDescent="0.25">
      <c r="B21" s="21" t="str">
        <f>'Model - Preopening &amp; Fees'!B44</f>
        <v>Miscellaneous  (Illustrations, IBE tbc)</v>
      </c>
      <c r="C21" s="2" t="s">
        <v>119</v>
      </c>
    </row>
    <row r="22" spans="2:3" x14ac:dyDescent="0.25">
      <c r="B22" s="21" t="str">
        <f>'Model - Preopening &amp; Fees'!B47</f>
        <v>Partner Fees</v>
      </c>
      <c r="C22" s="2" t="s">
        <v>119</v>
      </c>
    </row>
    <row r="23" spans="2:3" x14ac:dyDescent="0.25">
      <c r="B23" s="21" t="str">
        <f>'Model - Preopening &amp; Fees'!B48</f>
        <v>F&amp;B Events</v>
      </c>
      <c r="C23" s="2" t="s">
        <v>119</v>
      </c>
    </row>
    <row r="24" spans="2:3" x14ac:dyDescent="0.25">
      <c r="B24" s="21" t="str">
        <f>'Model - Preopening &amp; Fees'!B49</f>
        <v>Equipment Events</v>
      </c>
      <c r="C24" s="2" t="s">
        <v>119</v>
      </c>
    </row>
    <row r="25" spans="2:3" x14ac:dyDescent="0.25">
      <c r="B25" s="21" t="str">
        <f>'Model - Preopening &amp; Fees'!B50</f>
        <v>Gifting</v>
      </c>
      <c r="C25" s="2" t="s">
        <v>119</v>
      </c>
    </row>
    <row r="26" spans="2:3" x14ac:dyDescent="0.25">
      <c r="B26" s="22" t="str">
        <f>'Model - Preopening &amp; Fees'!B51</f>
        <v>Photography Events</v>
      </c>
      <c r="C26" s="54" t="s">
        <v>119</v>
      </c>
    </row>
    <row r="27" spans="2:3" x14ac:dyDescent="0.25">
      <c r="B27" s="21" t="str">
        <f>'Model - Preopening &amp; Fees'!B57</f>
        <v>Contracts Review and Advice</v>
      </c>
      <c r="C27" s="2" t="s">
        <v>143</v>
      </c>
    </row>
    <row r="28" spans="2:3" x14ac:dyDescent="0.25">
      <c r="B28" s="21" t="str">
        <f>'Model - Preopening &amp; Fees'!B58</f>
        <v>Construction Agreement</v>
      </c>
      <c r="C28" s="2" t="s">
        <v>143</v>
      </c>
    </row>
    <row r="29" spans="2:3" x14ac:dyDescent="0.25">
      <c r="B29" s="21" t="str">
        <f>'Model - Preopening &amp; Fees'!B59</f>
        <v>Template FF&amp;E contracts</v>
      </c>
      <c r="C29" s="2" t="s">
        <v>143</v>
      </c>
    </row>
    <row r="30" spans="2:3" x14ac:dyDescent="0.25">
      <c r="B30" s="21" t="str">
        <f>'Model - Preopening &amp; Fees'!B60</f>
        <v>Assistance in the FF&amp;E construction agreement with Factory and Sintesi</v>
      </c>
      <c r="C30" s="2" t="s">
        <v>143</v>
      </c>
    </row>
    <row r="31" spans="2:3" s="59" customFormat="1" x14ac:dyDescent="0.25">
      <c r="B31" s="139" t="str">
        <f>'Model - Preopening &amp; Fees'!B61</f>
        <v>Legal Support Contracts during 2026</v>
      </c>
      <c r="C31" s="2" t="s">
        <v>143</v>
      </c>
    </row>
    <row r="32" spans="2:3" x14ac:dyDescent="0.25">
      <c r="B32" s="21" t="str">
        <f>'Model - Preopening &amp; Fees'!B62</f>
        <v>Corporate Work to Date</v>
      </c>
      <c r="C32" s="2" t="s">
        <v>143</v>
      </c>
    </row>
    <row r="33" spans="2:3" x14ac:dyDescent="0.25">
      <c r="B33" s="21" t="str">
        <f>'Model - Preopening &amp; Fees'!B63</f>
        <v>Corporate Work 2026 (if necessary)</v>
      </c>
      <c r="C33" s="2" t="s">
        <v>143</v>
      </c>
    </row>
    <row r="34" spans="2:3" x14ac:dyDescent="0.25">
      <c r="B34" s="21" t="str">
        <f>'Model - Preopening &amp; Fees'!B64</f>
        <v>Second opinion related to labour and employment pre closing Hotel Corona</v>
      </c>
      <c r="C34" s="2" t="s">
        <v>143</v>
      </c>
    </row>
    <row r="35" spans="2:3" x14ac:dyDescent="0.25">
      <c r="B35" s="22" t="str">
        <f>'Model - Preopening &amp; Fees'!B65</f>
        <v>Contingency/Italian law queries during the construction phase Jan-Dec 2026</v>
      </c>
      <c r="C35" s="54" t="s">
        <v>143</v>
      </c>
    </row>
    <row r="36" spans="2:3" x14ac:dyDescent="0.25">
      <c r="B36" s="21" t="str">
        <f>'Model - Preopening &amp; Fees'!B73</f>
        <v>Mandatory Compliance Training</v>
      </c>
      <c r="C36" s="2" t="s">
        <v>146</v>
      </c>
    </row>
    <row r="37" spans="2:3" x14ac:dyDescent="0.25">
      <c r="B37" s="21" t="str">
        <f>'Model - Preopening &amp; Fees'!B74</f>
        <v>External Meeting Room &amp; Lunch (2 weeks)</v>
      </c>
      <c r="C37" s="2" t="s">
        <v>146</v>
      </c>
    </row>
    <row r="38" spans="2:3" x14ac:dyDescent="0.25">
      <c r="B38" s="21" t="str">
        <f>'Model - Preopening &amp; Fees'!B75</f>
        <v>Travel Costs - Shadow Shifts Leadership Team Florence</v>
      </c>
      <c r="C38" s="2" t="s">
        <v>146</v>
      </c>
    </row>
    <row r="39" spans="2:3" x14ac:dyDescent="0.25">
      <c r="B39" s="21" t="str">
        <f>'Model - Preopening &amp; Fees'!B79</f>
        <v xml:space="preserve">Social Media Recruitment - Tiktok &amp; Meta (Instagram) Ads Daily Budget of €100-€150 recommended for enough visibility. 2x to run different ads (for F&amp;B &amp; front office) </v>
      </c>
      <c r="C39" s="2" t="s">
        <v>146</v>
      </c>
    </row>
    <row r="40" spans="2:3" x14ac:dyDescent="0.25">
      <c r="B40" s="21" t="str">
        <f>'Model - Preopening &amp; Fees'!B80</f>
        <v>LinkedIn &amp; Indeed Promotions to be used for specialist roles, e.g. chef, hotel manager, F&amp;B MOD</v>
      </c>
      <c r="C40" s="2" t="s">
        <v>146</v>
      </c>
    </row>
    <row r="41" spans="2:3" x14ac:dyDescent="0.25">
      <c r="B41" s="21" t="str">
        <f>'Model - Preopening &amp; Fees'!B81</f>
        <v xml:space="preserve">Offline Visibility - e.g. campaign materials limited - more focus on online visibility to reach target audience </v>
      </c>
      <c r="C41" s="2" t="s">
        <v>146</v>
      </c>
    </row>
    <row r="42" spans="2:3" x14ac:dyDescent="0.25">
      <c r="B42" s="21" t="str">
        <f>'Model - Preopening &amp; Fees'!B82</f>
        <v>In-house Recruitment Day</v>
      </c>
      <c r="C42" s="2" t="s">
        <v>146</v>
      </c>
    </row>
    <row r="43" spans="2:3" x14ac:dyDescent="0.25">
      <c r="B43" s="21" t="str">
        <f>'Model - Preopening &amp; Fees'!B85</f>
        <v>Ongoing Salary - Reception Manager</v>
      </c>
      <c r="C43" s="2" t="s">
        <v>146</v>
      </c>
    </row>
    <row r="44" spans="2:3" x14ac:dyDescent="0.25">
      <c r="B44" s="21" t="str">
        <f>'Model - Preopening &amp; Fees'!B86</f>
        <v>Hotel Manager - Fabio</v>
      </c>
      <c r="C44" s="2" t="s">
        <v>146</v>
      </c>
    </row>
    <row r="45" spans="2:3" x14ac:dyDescent="0.25">
      <c r="B45" s="21" t="str">
        <f>'Model - Preopening &amp; Fees'!B87</f>
        <v>Staff Costs Preopening (23 FTE) - excl. Fabio &amp; Andi</v>
      </c>
      <c r="C45" s="2" t="s">
        <v>146</v>
      </c>
    </row>
    <row r="46" spans="2:3" x14ac:dyDescent="0.25">
      <c r="B46" s="21" t="str">
        <f>'Model - Preopening &amp; Fees'!B88</f>
        <v>Sales Manager External - Preopening Push</v>
      </c>
      <c r="C46" s="2" t="s">
        <v>146</v>
      </c>
    </row>
    <row r="47" spans="2:3" x14ac:dyDescent="0.25">
      <c r="B47" s="21" t="str">
        <f>'Model - Preopening &amp; Fees'!B89</f>
        <v>Sales Representation APLBC</v>
      </c>
      <c r="C47" s="2" t="s">
        <v>146</v>
      </c>
    </row>
    <row r="48" spans="2:3" x14ac:dyDescent="0.25">
      <c r="B48" s="21" t="str">
        <f>'Model - Preopening &amp; Fees'!B92</f>
        <v>TFR Costs Reorganisation</v>
      </c>
      <c r="C48" s="2" t="s">
        <v>146</v>
      </c>
    </row>
    <row r="49" spans="2:3 16383:16383" x14ac:dyDescent="0.25">
      <c r="B49" s="21" t="str">
        <f>'Model - Preopening &amp; Fees'!B93</f>
        <v>Settlement Costs Staff Reorganisation</v>
      </c>
      <c r="C49" s="2" t="s">
        <v>146</v>
      </c>
    </row>
    <row r="50" spans="2:3 16383:16383" x14ac:dyDescent="0.25">
      <c r="B50" s="22" t="str">
        <f>'Model - Preopening &amp; Fees'!B94</f>
        <v>Legal Costs - Studio Pirola Reorganisation</v>
      </c>
      <c r="C50" s="54" t="s">
        <v>146</v>
      </c>
    </row>
    <row r="51" spans="2:3 16383:16383" x14ac:dyDescent="0.25">
      <c r="B51" s="21" t="str">
        <f>'Model - Preopening &amp; Fees'!B100</f>
        <v>IT - Administrative &amp; General (Exact, Keeper, Oneteam, Office365)</v>
      </c>
      <c r="C51" s="2" t="s">
        <v>160</v>
      </c>
    </row>
    <row r="52" spans="2:3 16383:16383" x14ac:dyDescent="0.25">
      <c r="B52" s="21" t="str">
        <f>'Model - Preopening &amp; Fees'!B101</f>
        <v>IT - Food &amp; Beverage</v>
      </c>
      <c r="C52" s="2" t="s">
        <v>160</v>
      </c>
    </row>
    <row r="53" spans="2:3 16383:16383" x14ac:dyDescent="0.25">
      <c r="B53" s="21" t="str">
        <f>'Model - Preopening &amp; Fees'!B102</f>
        <v>IT - Human Resources (Personio, Shiftbase)</v>
      </c>
      <c r="C53" s="2" t="s">
        <v>160</v>
      </c>
    </row>
    <row r="54" spans="2:3 16383:16383" x14ac:dyDescent="0.25">
      <c r="B54" s="21" t="str">
        <f>'Model - Preopening &amp; Fees'!B103</f>
        <v>IT - Others (Mosyle, Reviewpro, MS Defender)</v>
      </c>
      <c r="C54" s="2" t="s">
        <v>160</v>
      </c>
    </row>
    <row r="55" spans="2:3 16383:16383" x14ac:dyDescent="0.25">
      <c r="B55" s="21" t="str">
        <f>'Model - Preopening &amp; Fees'!B104</f>
        <v>IT - Rooms (D3x, Apaleo, Zaplox, Siteminder, Flyr, Sweeply, Lighthouse, Hibox, Boookboost)</v>
      </c>
      <c r="C55" s="2" t="s">
        <v>160</v>
      </c>
    </row>
    <row r="56" spans="2:3 16383:16383" x14ac:dyDescent="0.25">
      <c r="B56" s="21" t="str">
        <f>'Model - Preopening &amp; Fees'!B105</f>
        <v>IT - Sales &amp; Marketing (Cendyn, MIG and Semrush)</v>
      </c>
      <c r="C56" s="2" t="s">
        <v>160</v>
      </c>
    </row>
    <row r="57" spans="2:3 16383:16383" x14ac:dyDescent="0.25">
      <c r="B57" s="21" t="str">
        <f>'Model - Preopening &amp; Fees'!B106</f>
        <v>Contract services</v>
      </c>
      <c r="C57" s="2" t="s">
        <v>160</v>
      </c>
    </row>
    <row r="58" spans="2:3 16383:16383" x14ac:dyDescent="0.25">
      <c r="B58" s="21" t="str">
        <f>'Model - Preopening &amp; Fees'!B107</f>
        <v>TV</v>
      </c>
      <c r="C58" s="2" t="s">
        <v>160</v>
      </c>
      <c r="XFC58" t="s">
        <v>256</v>
      </c>
    </row>
    <row r="59" spans="2:3 16383:16383" x14ac:dyDescent="0.25">
      <c r="B59" s="21" t="str">
        <f>'Model - Preopening &amp; Fees'!B108</f>
        <v>Internet &amp; Telecom</v>
      </c>
      <c r="C59" s="2" t="s">
        <v>160</v>
      </c>
    </row>
    <row r="60" spans="2:3 16383:16383" x14ac:dyDescent="0.25">
      <c r="B60" s="22" t="str">
        <f>'Model - Preopening &amp; Fees'!B109</f>
        <v>Software Licences (phished, io)</v>
      </c>
      <c r="C60" s="54" t="s">
        <v>160</v>
      </c>
    </row>
    <row r="61" spans="2:3 16383:16383" x14ac:dyDescent="0.25">
      <c r="B61" s="21" t="str">
        <f>'Model - Preopening &amp; Fees'!B115</f>
        <v>Complete OS&amp;E and operations supply list (see separate list)</v>
      </c>
      <c r="C61" s="2" t="s">
        <v>168</v>
      </c>
    </row>
    <row r="62" spans="2:3 16383:16383" x14ac:dyDescent="0.25">
      <c r="B62" s="63" t="str">
        <f>'Model - Preopening &amp; Fees'!B122</f>
        <v>Working Capital - F&amp;B inventory (food, beverages, grab&amp;go)</v>
      </c>
      <c r="C62" s="64" t="s">
        <v>171</v>
      </c>
    </row>
    <row r="63" spans="2:3 16383:16383" x14ac:dyDescent="0.25">
      <c r="B63" s="21" t="str">
        <f>'Model - Preopening &amp; Fees'!B123</f>
        <v>Working Capital - Room inventory (toilet paper, coffee, tea etc)</v>
      </c>
      <c r="C63" s="2" t="s">
        <v>171</v>
      </c>
    </row>
    <row r="64" spans="2:3 16383:16383" x14ac:dyDescent="0.25">
      <c r="B64" s="21" t="str">
        <f>'Model - Preopening &amp; Fees'!B124</f>
        <v>Working Capital - Preopening Deep Clean (guestrooms &amp; public areas)</v>
      </c>
      <c r="C64" s="2" t="s">
        <v>171</v>
      </c>
    </row>
    <row r="65" spans="2:3" x14ac:dyDescent="0.25">
      <c r="B65" s="21" t="str">
        <f>'Model - Preopening &amp; Fees'!B125</f>
        <v>Travel Costs UHG / Support Team - Flights &amp; Hotel Stays</v>
      </c>
      <c r="C65" s="2" t="s">
        <v>171</v>
      </c>
    </row>
    <row r="66" spans="2:3" x14ac:dyDescent="0.25">
      <c r="B66" s="21" t="str">
        <f>'Model - Preopening &amp; Fees'!B126</f>
        <v>F&amp;B Consultant - EME Consultancy</v>
      </c>
      <c r="C66" s="2" t="s">
        <v>171</v>
      </c>
    </row>
    <row r="67" spans="2:3" x14ac:dyDescent="0.25">
      <c r="B67" s="21" t="str">
        <f>'Model - Preopening &amp; Fees'!B127</f>
        <v>OS&amp;E Consultant</v>
      </c>
      <c r="C67" s="54" t="s">
        <v>171</v>
      </c>
    </row>
    <row r="68" spans="2:3" x14ac:dyDescent="0.25">
      <c r="B68" s="63" t="str">
        <f>'Model - Preopening &amp; Fees'!B144</f>
        <v>DM Fee</v>
      </c>
      <c r="C68" s="2" t="s">
        <v>178</v>
      </c>
    </row>
    <row r="69" spans="2:3" x14ac:dyDescent="0.25">
      <c r="B69" s="22" t="str">
        <f>'Model - Preopening &amp; Fees'!B145</f>
        <v>Preopening Fee</v>
      </c>
      <c r="C69" s="54" t="s">
        <v>178</v>
      </c>
    </row>
    <row r="70" spans="2:3" x14ac:dyDescent="0.25">
      <c r="B70" s="21" t="str">
        <f>'Model - Preopening &amp; Fees'!B151</f>
        <v>Deloitte</v>
      </c>
      <c r="C70" s="2" t="s">
        <v>183</v>
      </c>
    </row>
    <row r="71" spans="2:3" x14ac:dyDescent="0.25">
      <c r="B71" s="65" t="str">
        <f>'Model - Preopening &amp; Fees'!B152</f>
        <v>Legal - Contracts Review &amp; Advice</v>
      </c>
      <c r="C71" s="2" t="s">
        <v>183</v>
      </c>
    </row>
    <row r="72" spans="2:3" x14ac:dyDescent="0.25">
      <c r="B72" s="65" t="str">
        <f>'Model - Preopening &amp; Fees'!B153</f>
        <v>Legal - Corporate Work to Date</v>
      </c>
      <c r="C72" s="2" t="s">
        <v>183</v>
      </c>
    </row>
    <row r="73" spans="2:3" x14ac:dyDescent="0.25">
      <c r="B73" s="65" t="str">
        <f>'Model - Preopening &amp; Fees'!B154</f>
        <v>Legal Second opinion related to labour and employment pre closing Hotel Corona</v>
      </c>
      <c r="C73" s="2" t="s">
        <v>183</v>
      </c>
    </row>
    <row r="74" spans="2:3" x14ac:dyDescent="0.25">
      <c r="B74" s="66" t="str">
        <f>'Model - Preopening &amp; Fees'!B155</f>
        <v>[Other]</v>
      </c>
      <c r="C74" s="54" t="s">
        <v>183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518ec5-4af8-48a1-a4f9-c2a1bdc91bd9">
      <Terms xmlns="http://schemas.microsoft.com/office/infopath/2007/PartnerControls"/>
    </lcf76f155ced4ddcb4097134ff3c332f>
    <TaxCatchAll xmlns="e73404ba-9cd3-4fe1-ad9a-36c3d78a6d4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9F99FA2D49D04CA45771C6E08D2492" ma:contentTypeVersion="16" ma:contentTypeDescription="Een nieuw document maken." ma:contentTypeScope="" ma:versionID="a79648cc29e341f8ae9dc9700b858792">
  <xsd:schema xmlns:xsd="http://www.w3.org/2001/XMLSchema" xmlns:xs="http://www.w3.org/2001/XMLSchema" xmlns:p="http://schemas.microsoft.com/office/2006/metadata/properties" xmlns:ns2="4d518ec5-4af8-48a1-a4f9-c2a1bdc91bd9" xmlns:ns3="e73404ba-9cd3-4fe1-ad9a-36c3d78a6d46" targetNamespace="http://schemas.microsoft.com/office/2006/metadata/properties" ma:root="true" ma:fieldsID="57ce63dd2951ec2cbb45f5f1e1096ad9" ns2:_="" ns3:_="">
    <xsd:import namespace="4d518ec5-4af8-48a1-a4f9-c2a1bdc91bd9"/>
    <xsd:import namespace="e73404ba-9cd3-4fe1-ad9a-36c3d78a6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18ec5-4af8-48a1-a4f9-c2a1bdc91b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30d33983-5369-43d6-8c73-d28951bd90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404ba-9cd3-4fe1-ad9a-36c3d78a6d4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971a4a8-fd68-4038-8fde-207244df45e4}" ma:internalName="TaxCatchAll" ma:showField="CatchAllData" ma:web="e73404ba-9cd3-4fe1-ad9a-36c3d78a6d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27356B-2DB8-49FE-877F-7175926D66BC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73404ba-9cd3-4fe1-ad9a-36c3d78a6d46"/>
    <ds:schemaRef ds:uri="http://purl.org/dc/dcmitype/"/>
    <ds:schemaRef ds:uri="4d518ec5-4af8-48a1-a4f9-c2a1bdc91bd9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2139961-D9B7-422E-99E4-5467E2D08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18ec5-4af8-48a1-a4f9-c2a1bdc91bd9"/>
    <ds:schemaRef ds:uri="e73404ba-9cd3-4fe1-ad9a-36c3d78a6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6366FD-A265-42E9-956A-4C9894334A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Invoices</vt:lpstr>
      <vt:lpstr>Model - Capex</vt:lpstr>
      <vt:lpstr>Model - Preopening &amp; Fees</vt:lpstr>
      <vt:lpstr>Summary</vt:lpstr>
      <vt:lpstr>Invoices - Preopening</vt:lpstr>
      <vt:lpstr>Sheet1</vt:lpstr>
      <vt:lpstr>Data Val</vt:lpstr>
      <vt:lpstr>'Model - Capex'!Print_Area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Bridget Omolu</dc:creator>
  <cp:keywords/>
  <dc:description/>
  <cp:lastModifiedBy>Diederik Schol</cp:lastModifiedBy>
  <cp:revision/>
  <dcterms:created xsi:type="dcterms:W3CDTF">2026-05-07T08:55:15Z</dcterms:created>
  <dcterms:modified xsi:type="dcterms:W3CDTF">2026-07-15T09:50:16Z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0x010100539F99FA2D49D04CA45771C6E08D2492</vt:lpwstr>
  </property>
  <property fmtid="{D5CDD505-2E9C-101B-9397-08002B2CF9AE}" pid="3" name="MediaServiceImageTags">
    <vt:lpwstr/>
  </property>
</Properties>
</file>